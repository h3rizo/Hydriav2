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E IRSA" sheetId="1" state="visible" r:id="rId1"/>
    <sheet name="D.N IRSA" sheetId="2" state="visible" r:id="rId2"/>
    <sheet name="bordereau IR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C]dddd\ d\ mmmm\ yyyy"/>
  </numFmts>
  <fonts count="21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i val="1"/>
      <sz val="11"/>
    </font>
    <font>
      <name val="Arial"/>
      <family val="2"/>
      <b val="1"/>
      <sz val="10"/>
      <u val="single"/>
    </font>
    <font>
      <name val="Arial"/>
      <family val="2"/>
      <b val="1"/>
      <sz val="12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i val="1"/>
      <sz val="8"/>
    </font>
    <font>
      <name val="Arial"/>
      <family val="2"/>
      <b val="1"/>
      <i val="1"/>
      <color indexed="48"/>
      <sz val="12"/>
    </font>
    <font>
      <name val="Arial"/>
      <family val="2"/>
      <b val="1"/>
      <i val="1"/>
      <sz val="10"/>
    </font>
    <font>
      <name val="Arial"/>
      <family val="2"/>
      <i val="1"/>
      <sz val="7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37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7" fontId="9" fillId="0" borderId="0" pivotButton="0" quotePrefix="0" xfId="0"/>
    <xf numFmtId="14" fontId="15" fillId="0" borderId="0" pivotButton="0" quotePrefix="0" xfId="0"/>
    <xf numFmtId="0" fontId="7" fillId="0" borderId="0" applyAlignment="1" pivotButton="0" quotePrefix="0" xfId="0">
      <alignment horizontal="right"/>
    </xf>
    <xf numFmtId="3" fontId="7" fillId="0" borderId="0" pivotButton="0" quotePrefix="0" xfId="0"/>
    <xf numFmtId="0" fontId="4" fillId="0" borderId="7" pivotButton="0" quotePrefix="0" xfId="0"/>
    <xf numFmtId="0" fontId="4" fillId="0" borderId="8" pivotButton="0" quotePrefix="0" xfId="0"/>
    <xf numFmtId="0" fontId="7" fillId="0" borderId="8" pivotButton="0" quotePrefix="0" xfId="0"/>
    <xf numFmtId="0" fontId="4" fillId="0" borderId="9" applyAlignment="1" pivotButton="0" quotePrefix="0" xfId="0">
      <alignment horizontal="center"/>
    </xf>
    <xf numFmtId="0" fontId="4" fillId="0" borderId="10" pivotButton="0" quotePrefix="0" xfId="0"/>
    <xf numFmtId="0" fontId="4" fillId="0" borderId="11" pivotButton="0" quotePrefix="0" xfId="0"/>
    <xf numFmtId="0" fontId="8" fillId="0" borderId="12" applyAlignment="1" pivotButton="0" quotePrefix="0" xfId="0">
      <alignment horizontal="center"/>
    </xf>
    <xf numFmtId="0" fontId="4" fillId="0" borderId="13" pivotButton="0" quotePrefix="0" xfId="0"/>
    <xf numFmtId="0" fontId="8" fillId="0" borderId="11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8" fillId="0" borderId="14" pivotButton="0" quotePrefix="0" xfId="0"/>
    <xf numFmtId="0" fontId="4" fillId="0" borderId="17" pivotButton="0" quotePrefix="0" xfId="0"/>
    <xf numFmtId="0" fontId="7" fillId="0" borderId="7" pivotButton="0" quotePrefix="0" xfId="0"/>
    <xf numFmtId="0" fontId="16" fillId="0" borderId="9" applyAlignment="1" pivotButton="0" quotePrefix="0" xfId="0">
      <alignment horizontal="center"/>
    </xf>
    <xf numFmtId="0" fontId="4" fillId="0" borderId="9" pivotButton="0" quotePrefix="0" xfId="0"/>
    <xf numFmtId="3" fontId="13" fillId="0" borderId="12" pivotButton="0" quotePrefix="0" xfId="0"/>
    <xf numFmtId="3" fontId="17" fillId="0" borderId="12" pivotButton="0" quotePrefix="0" xfId="0"/>
    <xf numFmtId="3" fontId="18" fillId="0" borderId="16" pivotButton="0" quotePrefix="0" xfId="0"/>
    <xf numFmtId="3" fontId="13" fillId="0" borderId="18" pivotButton="0" quotePrefix="0" xfId="0"/>
    <xf numFmtId="0" fontId="7" fillId="0" borderId="11" pivotButton="0" quotePrefix="0" xfId="0"/>
    <xf numFmtId="0" fontId="16" fillId="0" borderId="16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3" fontId="13" fillId="0" borderId="19" pivotButton="0" quotePrefix="0" xfId="0"/>
    <xf numFmtId="3" fontId="13" fillId="1" borderId="19" pivotButton="0" quotePrefix="0" xfId="0"/>
    <xf numFmtId="0" fontId="7" fillId="0" borderId="7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0" fontId="8" fillId="0" borderId="21" pivotButton="0" quotePrefix="0" xfId="0"/>
    <xf numFmtId="0" fontId="4" fillId="0" borderId="22" pivotButton="0" quotePrefix="0" xfId="0"/>
    <xf numFmtId="0" fontId="8" fillId="0" borderId="23" pivotButton="0" quotePrefix="0" xfId="0"/>
    <xf numFmtId="0" fontId="4" fillId="0" borderId="18" pivotButton="0" quotePrefix="0" xfId="0"/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19" fillId="0" borderId="31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6" fillId="0" borderId="11" applyAlignment="1" pivotButton="0" quotePrefix="0" xfId="0">
      <alignment horizontal="right"/>
    </xf>
    <xf numFmtId="164" fontId="6" fillId="0" borderId="13" applyAlignment="1" pivotButton="0" quotePrefix="0" xfId="0">
      <alignment horizontal="left"/>
    </xf>
    <xf numFmtId="0" fontId="0" fillId="0" borderId="13" pivotButton="0" quotePrefix="0" xfId="0"/>
    <xf numFmtId="0" fontId="4" fillId="0" borderId="33" applyAlignment="1" pivotButton="0" quotePrefix="0" xfId="0">
      <alignment horizontal="center"/>
    </xf>
    <xf numFmtId="0" fontId="7" fillId="0" borderId="34" applyAlignment="1" pivotButton="0" quotePrefix="0" xfId="0">
      <alignment horizontal="right"/>
    </xf>
    <xf numFmtId="0" fontId="4" fillId="0" borderId="33" pivotButton="0" quotePrefix="0" xfId="0"/>
    <xf numFmtId="0" fontId="4" fillId="0" borderId="35" pivotButton="0" quotePrefix="0" xfId="0"/>
    <xf numFmtId="0" fontId="7" fillId="0" borderId="33" pivotButton="0" quotePrefix="0" xfId="0"/>
    <xf numFmtId="0" fontId="4" fillId="0" borderId="34" pivotButton="0" quotePrefix="0" xfId="0"/>
    <xf numFmtId="0" fontId="4" fillId="0" borderId="36" pivotButton="0" quotePrefix="0" xfId="0"/>
    <xf numFmtId="0" fontId="4" fillId="0" borderId="12" pivotButton="0" quotePrefix="0" xfId="0"/>
    <xf numFmtId="0" fontId="8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Nom de l'organisation</t>
        </is>
      </c>
      <c r="B1" t="inlineStr">
        <is>
          <t>[NOM_ORGANISATION]</t>
        </is>
      </c>
      <c r="C1" t="inlineStr">
        <is>
          <t>Payé en</t>
        </is>
      </c>
      <c r="D1" t="inlineStr">
        <is>
          <t>[DATE_PAIEMENT]</t>
        </is>
      </c>
    </row>
    <row r="2">
      <c r="A2" t="inlineStr">
        <is>
          <t>IRSA</t>
        </is>
      </c>
      <c r="B2" s="1" t="inlineStr">
        <is>
          <t>Concernant les salaires du mois : [MOIS_ANNEE]</t>
        </is>
      </c>
      <c r="C2" s="9" t="n"/>
      <c r="D2" s="10" t="n"/>
    </row>
    <row r="4">
      <c r="A4" s="2" t="inlineStr">
        <is>
          <t>Noms et prénoms</t>
        </is>
      </c>
      <c r="B4" s="2" t="inlineStr">
        <is>
          <t>Salaire brut total</t>
        </is>
      </c>
      <c r="C4" s="2" t="inlineStr">
        <is>
          <t>Base imposable</t>
        </is>
      </c>
      <c r="D4" s="2" t="inlineStr">
        <is>
          <t>IRSA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0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</cols>
  <sheetData>
    <row r="1">
      <c r="A1" s="3" t="inlineStr">
        <is>
          <t>DECLARATION NOMINATIVE DES IMPOTS SUR LES REVENUS SALARIAUX ET ASSIMILES</t>
        </is>
      </c>
    </row>
    <row r="3">
      <c r="A3" s="2" t="inlineStr">
        <is>
          <t>Noms et prénoms</t>
        </is>
      </c>
      <c r="B3" s="2" t="inlineStr">
        <is>
          <t>Date d'embauche</t>
        </is>
      </c>
      <c r="C3" s="2" t="inlineStr">
        <is>
          <t>Date de débauchage</t>
        </is>
      </c>
      <c r="D3" s="2" t="inlineStr">
        <is>
          <t>Fonction</t>
        </is>
      </c>
      <c r="E3" s="2" t="inlineStr">
        <is>
          <t>Progr.</t>
        </is>
      </c>
      <c r="F3" s="2" t="inlineStr">
        <is>
          <t>Classif. Prof.</t>
        </is>
      </c>
      <c r="G3" s="2" t="inlineStr">
        <is>
          <t>Salaire brut total</t>
        </is>
      </c>
      <c r="H3" s="2" t="inlineStr">
        <is>
          <t>Base imposable</t>
        </is>
      </c>
      <c r="I3" s="2" t="inlineStr">
        <is>
          <t>IRSA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cols>
    <col width="11" customWidth="1" min="1" max="1"/>
    <col width="11.875" customWidth="1" min="6" max="6"/>
    <col width="11.125" customWidth="1" min="7" max="7"/>
    <col width="11" customWidth="1" min="8" max="8"/>
    <col width="11.875" customWidth="1" min="262" max="262"/>
    <col width="11.125" customWidth="1" min="263" max="263"/>
    <col width="11" customWidth="1" min="264" max="264"/>
    <col width="11.875" customWidth="1" min="518" max="518"/>
    <col width="11.125" customWidth="1" min="519" max="519"/>
    <col width="11" customWidth="1" min="520" max="520"/>
    <col width="11.875" customWidth="1" min="774" max="774"/>
    <col width="11.125" customWidth="1" min="775" max="775"/>
    <col width="11" customWidth="1" min="776" max="776"/>
    <col width="11.875" customWidth="1" min="1030" max="1030"/>
    <col width="11.125" customWidth="1" min="1031" max="1031"/>
    <col width="11" customWidth="1" min="1032" max="1032"/>
    <col width="11.875" customWidth="1" min="1286" max="1286"/>
    <col width="11.125" customWidth="1" min="1287" max="1287"/>
    <col width="11" customWidth="1" min="1288" max="1288"/>
    <col width="11.875" customWidth="1" min="1542" max="1542"/>
    <col width="11.125" customWidth="1" min="1543" max="1543"/>
    <col width="11" customWidth="1" min="1544" max="1544"/>
    <col width="11.875" customWidth="1" min="1798" max="1798"/>
    <col width="11.125" customWidth="1" min="1799" max="1799"/>
    <col width="11" customWidth="1" min="1800" max="1800"/>
    <col width="11.875" customWidth="1" min="2054" max="2054"/>
    <col width="11.125" customWidth="1" min="2055" max="2055"/>
    <col width="11" customWidth="1" min="2056" max="2056"/>
    <col width="11.875" customWidth="1" min="2310" max="2310"/>
    <col width="11.125" customWidth="1" min="2311" max="2311"/>
    <col width="11" customWidth="1" min="2312" max="2312"/>
    <col width="11.875" customWidth="1" min="2566" max="2566"/>
    <col width="11.125" customWidth="1" min="2567" max="2567"/>
    <col width="11" customWidth="1" min="2568" max="2568"/>
    <col width="11.875" customWidth="1" min="2822" max="2822"/>
    <col width="11.125" customWidth="1" min="2823" max="2823"/>
    <col width="11" customWidth="1" min="2824" max="2824"/>
    <col width="11.875" customWidth="1" min="3078" max="3078"/>
    <col width="11.125" customWidth="1" min="3079" max="3079"/>
    <col width="11" customWidth="1" min="3080" max="3080"/>
    <col width="11.875" customWidth="1" min="3334" max="3334"/>
    <col width="11.125" customWidth="1" min="3335" max="3335"/>
    <col width="11" customWidth="1" min="3336" max="3336"/>
    <col width="11.875" customWidth="1" min="3590" max="3590"/>
    <col width="11.125" customWidth="1" min="3591" max="3591"/>
    <col width="11" customWidth="1" min="3592" max="3592"/>
    <col width="11.875" customWidth="1" min="3846" max="3846"/>
    <col width="11.125" customWidth="1" min="3847" max="3847"/>
    <col width="11" customWidth="1" min="3848" max="3848"/>
    <col width="11.875" customWidth="1" min="4102" max="4102"/>
    <col width="11.125" customWidth="1" min="4103" max="4103"/>
    <col width="11" customWidth="1" min="4104" max="4104"/>
    <col width="11.875" customWidth="1" min="4358" max="4358"/>
    <col width="11.125" customWidth="1" min="4359" max="4359"/>
    <col width="11" customWidth="1" min="4360" max="4360"/>
    <col width="11.875" customWidth="1" min="4614" max="4614"/>
    <col width="11.125" customWidth="1" min="4615" max="4615"/>
    <col width="11" customWidth="1" min="4616" max="4616"/>
    <col width="11.875" customWidth="1" min="4870" max="4870"/>
    <col width="11.125" customWidth="1" min="4871" max="4871"/>
    <col width="11" customWidth="1" min="4872" max="4872"/>
    <col width="11.875" customWidth="1" min="5126" max="5126"/>
    <col width="11.125" customWidth="1" min="5127" max="5127"/>
    <col width="11" customWidth="1" min="5128" max="5128"/>
    <col width="11.875" customWidth="1" min="5382" max="5382"/>
    <col width="11.125" customWidth="1" min="5383" max="5383"/>
    <col width="11" customWidth="1" min="5384" max="5384"/>
    <col width="11.875" customWidth="1" min="5638" max="5638"/>
    <col width="11.125" customWidth="1" min="5639" max="5639"/>
    <col width="11" customWidth="1" min="5640" max="5640"/>
    <col width="11.875" customWidth="1" min="5894" max="5894"/>
    <col width="11.125" customWidth="1" min="5895" max="5895"/>
    <col width="11" customWidth="1" min="5896" max="5896"/>
    <col width="11.875" customWidth="1" min="6150" max="6150"/>
    <col width="11.125" customWidth="1" min="6151" max="6151"/>
    <col width="11" customWidth="1" min="6152" max="6152"/>
    <col width="11.875" customWidth="1" min="6406" max="6406"/>
    <col width="11.125" customWidth="1" min="6407" max="6407"/>
    <col width="11" customWidth="1" min="6408" max="6408"/>
    <col width="11.875" customWidth="1" min="6662" max="6662"/>
    <col width="11.125" customWidth="1" min="6663" max="6663"/>
    <col width="11" customWidth="1" min="6664" max="6664"/>
    <col width="11.875" customWidth="1" min="6918" max="6918"/>
    <col width="11.125" customWidth="1" min="6919" max="6919"/>
    <col width="11" customWidth="1" min="6920" max="6920"/>
    <col width="11.875" customWidth="1" min="7174" max="7174"/>
    <col width="11.125" customWidth="1" min="7175" max="7175"/>
    <col width="11" customWidth="1" min="7176" max="7176"/>
    <col width="11.875" customWidth="1" min="7430" max="7430"/>
    <col width="11.125" customWidth="1" min="7431" max="7431"/>
    <col width="11" customWidth="1" min="7432" max="7432"/>
    <col width="11.875" customWidth="1" min="7686" max="7686"/>
    <col width="11.125" customWidth="1" min="7687" max="7687"/>
    <col width="11" customWidth="1" min="7688" max="7688"/>
    <col width="11.875" customWidth="1" min="7942" max="7942"/>
    <col width="11.125" customWidth="1" min="7943" max="7943"/>
    <col width="11" customWidth="1" min="7944" max="7944"/>
    <col width="11.875" customWidth="1" min="8198" max="8198"/>
    <col width="11.125" customWidth="1" min="8199" max="8199"/>
    <col width="11" customWidth="1" min="8200" max="8200"/>
    <col width="11.875" customWidth="1" min="8454" max="8454"/>
    <col width="11.125" customWidth="1" min="8455" max="8455"/>
    <col width="11" customWidth="1" min="8456" max="8456"/>
    <col width="11.875" customWidth="1" min="8710" max="8710"/>
    <col width="11.125" customWidth="1" min="8711" max="8711"/>
    <col width="11" customWidth="1" min="8712" max="8712"/>
    <col width="11.875" customWidth="1" min="8966" max="8966"/>
    <col width="11.125" customWidth="1" min="8967" max="8967"/>
    <col width="11" customWidth="1" min="8968" max="8968"/>
    <col width="11.875" customWidth="1" min="9222" max="9222"/>
    <col width="11.125" customWidth="1" min="9223" max="9223"/>
    <col width="11" customWidth="1" min="9224" max="9224"/>
    <col width="11.875" customWidth="1" min="9478" max="9478"/>
    <col width="11.125" customWidth="1" min="9479" max="9479"/>
    <col width="11" customWidth="1" min="9480" max="9480"/>
    <col width="11.875" customWidth="1" min="9734" max="9734"/>
    <col width="11.125" customWidth="1" min="9735" max="9735"/>
    <col width="11" customWidth="1" min="9736" max="9736"/>
    <col width="11.875" customWidth="1" min="9990" max="9990"/>
    <col width="11.125" customWidth="1" min="9991" max="9991"/>
    <col width="11" customWidth="1" min="9992" max="9992"/>
    <col width="11.875" customWidth="1" min="10246" max="10246"/>
    <col width="11.125" customWidth="1" min="10247" max="10247"/>
    <col width="11" customWidth="1" min="10248" max="10248"/>
    <col width="11.875" customWidth="1" min="10502" max="10502"/>
    <col width="11.125" customWidth="1" min="10503" max="10503"/>
    <col width="11" customWidth="1" min="10504" max="10504"/>
    <col width="11.875" customWidth="1" min="10758" max="10758"/>
    <col width="11.125" customWidth="1" min="10759" max="10759"/>
    <col width="11" customWidth="1" min="10760" max="10760"/>
    <col width="11.875" customWidth="1" min="11014" max="11014"/>
    <col width="11.125" customWidth="1" min="11015" max="11015"/>
    <col width="11" customWidth="1" min="11016" max="11016"/>
    <col width="11.875" customWidth="1" min="11270" max="11270"/>
    <col width="11.125" customWidth="1" min="11271" max="11271"/>
    <col width="11" customWidth="1" min="11272" max="11272"/>
    <col width="11.875" customWidth="1" min="11526" max="11526"/>
    <col width="11.125" customWidth="1" min="11527" max="11527"/>
    <col width="11" customWidth="1" min="11528" max="11528"/>
    <col width="11.875" customWidth="1" min="11782" max="11782"/>
    <col width="11.125" customWidth="1" min="11783" max="11783"/>
    <col width="11" customWidth="1" min="11784" max="11784"/>
    <col width="11.875" customWidth="1" min="12038" max="12038"/>
    <col width="11.125" customWidth="1" min="12039" max="12039"/>
    <col width="11" customWidth="1" min="12040" max="12040"/>
    <col width="11.875" customWidth="1" min="12294" max="12294"/>
    <col width="11.125" customWidth="1" min="12295" max="12295"/>
    <col width="11" customWidth="1" min="12296" max="12296"/>
    <col width="11.875" customWidth="1" min="12550" max="12550"/>
    <col width="11.125" customWidth="1" min="12551" max="12551"/>
    <col width="11" customWidth="1" min="12552" max="12552"/>
    <col width="11.875" customWidth="1" min="12806" max="12806"/>
    <col width="11.125" customWidth="1" min="12807" max="12807"/>
    <col width="11" customWidth="1" min="12808" max="12808"/>
    <col width="11.875" customWidth="1" min="13062" max="13062"/>
    <col width="11.125" customWidth="1" min="13063" max="13063"/>
    <col width="11" customWidth="1" min="13064" max="13064"/>
    <col width="11.875" customWidth="1" min="13318" max="13318"/>
    <col width="11.125" customWidth="1" min="13319" max="13319"/>
    <col width="11" customWidth="1" min="13320" max="13320"/>
    <col width="11.875" customWidth="1" min="13574" max="13574"/>
    <col width="11.125" customWidth="1" min="13575" max="13575"/>
    <col width="11" customWidth="1" min="13576" max="13576"/>
    <col width="11.875" customWidth="1" min="13830" max="13830"/>
    <col width="11.125" customWidth="1" min="13831" max="13831"/>
    <col width="11" customWidth="1" min="13832" max="13832"/>
    <col width="11.875" customWidth="1" min="14086" max="14086"/>
    <col width="11.125" customWidth="1" min="14087" max="14087"/>
    <col width="11" customWidth="1" min="14088" max="14088"/>
    <col width="11.875" customWidth="1" min="14342" max="14342"/>
    <col width="11.125" customWidth="1" min="14343" max="14343"/>
    <col width="11" customWidth="1" min="14344" max="14344"/>
    <col width="11.875" customWidth="1" min="14598" max="14598"/>
    <col width="11.125" customWidth="1" min="14599" max="14599"/>
    <col width="11" customWidth="1" min="14600" max="14600"/>
    <col width="11.875" customWidth="1" min="14854" max="14854"/>
    <col width="11.125" customWidth="1" min="14855" max="14855"/>
    <col width="11" customWidth="1" min="14856" max="14856"/>
    <col width="11.875" customWidth="1" min="15110" max="15110"/>
    <col width="11.125" customWidth="1" min="15111" max="15111"/>
    <col width="11" customWidth="1" min="15112" max="15112"/>
    <col width="11.875" customWidth="1" min="15366" max="15366"/>
    <col width="11.125" customWidth="1" min="15367" max="15367"/>
    <col width="11" customWidth="1" min="15368" max="15368"/>
    <col width="11.875" customWidth="1" min="15622" max="15622"/>
    <col width="11.125" customWidth="1" min="15623" max="15623"/>
    <col width="11" customWidth="1" min="15624" max="15624"/>
    <col width="11.875" customWidth="1" min="15878" max="15878"/>
    <col width="11.125" customWidth="1" min="15879" max="15879"/>
    <col width="11" customWidth="1" min="15880" max="15880"/>
    <col width="11.875" customWidth="1" min="16134" max="16134"/>
    <col width="11.125" customWidth="1" min="16135" max="16135"/>
    <col width="11" customWidth="1" min="16136" max="16136"/>
  </cols>
  <sheetData>
    <row r="1" ht="18" customHeight="1">
      <c r="A1" s="11" t="inlineStr">
        <is>
          <t xml:space="preserve">        REPOBLIKAN'I MADAGASIKARA</t>
        </is>
      </c>
      <c r="B1" s="11" t="n"/>
      <c r="C1" s="11" t="n"/>
      <c r="D1" s="11" t="n"/>
      <c r="E1" s="12" t="inlineStr">
        <is>
          <t>HETRA AMIN'NY KARAMA SY NY TOA AZY</t>
        </is>
      </c>
      <c r="F1" s="11" t="n"/>
      <c r="G1" s="11" t="n"/>
      <c r="H1" s="11" t="n"/>
      <c r="I1" s="11" t="n"/>
      <c r="V1" s="13" t="n">
        <v>1</v>
      </c>
      <c r="W1" s="13" t="inlineStr">
        <is>
          <t>Janvier</t>
        </is>
      </c>
    </row>
    <row r="2">
      <c r="A2" s="14" t="n"/>
      <c r="B2" s="14" t="n"/>
      <c r="C2" s="14" t="n"/>
      <c r="D2" s="14" t="n"/>
      <c r="E2" s="15" t="inlineStr">
        <is>
          <t xml:space="preserve">                           (Andininy faha 01 16 56 amin'ny fehezan-dalana </t>
        </is>
      </c>
      <c r="F2" s="14" t="n"/>
      <c r="G2" s="14" t="n"/>
      <c r="H2" s="14" t="n"/>
      <c r="I2" s="14" t="n"/>
      <c r="V2" s="13" t="n">
        <v>2</v>
      </c>
      <c r="W2" s="13" t="inlineStr">
        <is>
          <t>Février</t>
        </is>
      </c>
    </row>
    <row r="3">
      <c r="A3" s="16" t="inlineStr">
        <is>
          <t xml:space="preserve"> SAMPAN-DRAHARAHA  MOMBA </t>
        </is>
      </c>
      <c r="B3" s="16" t="n"/>
      <c r="C3" s="16" t="n"/>
      <c r="D3" s="16" t="n"/>
      <c r="E3" s="17" t="inlineStr">
        <is>
          <t xml:space="preserve">                                      ankapobeny mifehy ny hetra)</t>
        </is>
      </c>
      <c r="F3" s="16" t="n"/>
      <c r="G3" s="16" t="n"/>
      <c r="H3" s="16" t="n"/>
      <c r="I3" s="16" t="n"/>
      <c r="V3" s="13" t="n">
        <v>3</v>
      </c>
      <c r="W3" s="13" t="inlineStr">
        <is>
          <t>Mars</t>
        </is>
      </c>
    </row>
    <row r="4" ht="14.25" customHeight="1">
      <c r="A4" s="16" t="inlineStr">
        <is>
          <t>NY LAHASA MIKASIKA NY HETRA</t>
        </is>
      </c>
      <c r="B4" s="16" t="n"/>
      <c r="C4" s="17" t="n"/>
      <c r="D4" s="16" t="n"/>
      <c r="E4" s="18" t="inlineStr">
        <is>
          <t xml:space="preserve">IMPÔT SUR LES REVENUS SALARIES ET ASSIMILES </t>
        </is>
      </c>
      <c r="F4" s="16" t="n"/>
      <c r="G4" s="16" t="n"/>
      <c r="H4" s="16" t="n"/>
      <c r="I4" s="16" t="n"/>
      <c r="V4" s="13" t="n">
        <v>4</v>
      </c>
      <c r="W4" s="13" t="inlineStr">
        <is>
          <t>Avril</t>
        </is>
      </c>
    </row>
    <row r="5">
      <c r="A5" s="16" t="n"/>
      <c r="B5" s="16" t="n"/>
      <c r="C5" s="16" t="n"/>
      <c r="D5" s="16" t="n"/>
      <c r="E5" s="11" t="inlineStr">
        <is>
          <t xml:space="preserve">                              (Art 01.16.56 du code général des impôts)</t>
        </is>
      </c>
      <c r="F5" s="16" t="n"/>
      <c r="G5" s="16" t="n"/>
      <c r="H5" s="16" t="n"/>
      <c r="I5" s="16" t="n"/>
      <c r="V5" s="13" t="n">
        <v>5</v>
      </c>
      <c r="W5" s="13" t="inlineStr">
        <is>
          <t>Mai</t>
        </is>
      </c>
    </row>
    <row r="6">
      <c r="A6" s="16" t="n"/>
      <c r="B6" s="16" t="n"/>
      <c r="C6" s="16" t="n"/>
      <c r="D6" s="16" t="n"/>
      <c r="E6" s="16" t="inlineStr">
        <is>
          <t xml:space="preserve">             TARATASY FANDROTSAHAM-BOLA</t>
        </is>
      </c>
      <c r="F6" s="16" t="n"/>
      <c r="G6" s="16" t="n"/>
      <c r="H6" s="16" t="n"/>
      <c r="I6" s="16" t="n"/>
      <c r="V6" s="13" t="n">
        <v>6</v>
      </c>
      <c r="W6" s="13" t="inlineStr">
        <is>
          <t>Juin</t>
        </is>
      </c>
    </row>
    <row r="7">
      <c r="A7" s="16" t="n"/>
      <c r="B7" s="19" t="inlineStr">
        <is>
          <t>FARITANY</t>
        </is>
      </c>
      <c r="C7" s="17" t="n"/>
      <c r="D7" s="16" t="n"/>
      <c r="E7" s="11" t="inlineStr">
        <is>
          <t xml:space="preserve">                  Ho fenoin'ny mpampiasa na ny vondrona mpandoa vola, enina mitovy</t>
        </is>
      </c>
      <c r="F7" s="16" t="n"/>
      <c r="G7" s="16" t="n"/>
      <c r="H7" s="16" t="n"/>
      <c r="I7" s="16" t="n"/>
      <c r="V7" s="13" t="n">
        <v>7</v>
      </c>
      <c r="W7" s="13" t="inlineStr">
        <is>
          <t>Juillet</t>
        </is>
      </c>
    </row>
    <row r="8" ht="15.75" customHeight="1">
      <c r="B8" s="20" t="inlineStr">
        <is>
          <t>TAMATAVE</t>
        </is>
      </c>
      <c r="C8" s="17" t="n"/>
      <c r="D8" s="16" t="n"/>
      <c r="E8" s="21" t="inlineStr">
        <is>
          <t xml:space="preserve">              BORDEREAU DE VERSEMENT</t>
        </is>
      </c>
      <c r="F8" s="16" t="n"/>
      <c r="G8" s="16" t="n"/>
      <c r="H8" s="16" t="n"/>
      <c r="I8" s="16" t="n"/>
      <c r="V8" s="13" t="n">
        <v>8</v>
      </c>
      <c r="W8" s="13" t="inlineStr">
        <is>
          <t>Août</t>
        </is>
      </c>
    </row>
    <row r="9">
      <c r="A9" s="13" t="inlineStr">
        <is>
          <t xml:space="preserve">      FIVONDRONAM-POKONTANY</t>
        </is>
      </c>
      <c r="C9" s="17" t="n"/>
      <c r="D9" s="16" t="n"/>
      <c r="E9" s="15" t="inlineStr">
        <is>
          <t xml:space="preserve">             A établir en  4 exemplaires par l'employeur ou l'organisme payeur</t>
        </is>
      </c>
      <c r="F9" s="16" t="n"/>
      <c r="G9" s="16" t="n"/>
      <c r="H9" s="16" t="n"/>
      <c r="I9" s="16" t="n"/>
      <c r="V9" s="13" t="n">
        <v>9</v>
      </c>
      <c r="W9" s="13" t="inlineStr">
        <is>
          <t>Septembre</t>
        </is>
      </c>
    </row>
    <row r="10" ht="18" customHeight="1">
      <c r="B10" s="16" t="inlineStr">
        <is>
          <t>VAVATENINA</t>
        </is>
      </c>
      <c r="C10" s="17" t="n"/>
      <c r="D10" s="16" t="n"/>
      <c r="E10" s="16" t="n"/>
      <c r="F10" s="13" t="inlineStr">
        <is>
          <t>TAONA:             2014</t>
        </is>
      </c>
      <c r="G10" s="22" t="n">
        <v>2024</v>
      </c>
      <c r="H10" s="16" t="n"/>
      <c r="I10" s="16" t="n"/>
      <c r="V10" s="13" t="n">
        <v>10</v>
      </c>
      <c r="W10" s="13" t="inlineStr">
        <is>
          <t>Octobre</t>
        </is>
      </c>
    </row>
    <row r="11">
      <c r="B11" s="19" t="inlineStr">
        <is>
          <t>COMMUNE</t>
        </is>
      </c>
      <c r="C11" s="17" t="n"/>
      <c r="D11" s="16" t="n"/>
      <c r="E11" s="16" t="n"/>
      <c r="F11" s="17" t="inlineStr">
        <is>
          <t>Année</t>
        </is>
      </c>
      <c r="H11" s="16" t="n"/>
      <c r="I11" s="16" t="n"/>
      <c r="V11" s="13" t="n">
        <v>11</v>
      </c>
      <c r="W11" s="13" t="inlineStr">
        <is>
          <t>Novembre</t>
        </is>
      </c>
    </row>
    <row r="12">
      <c r="B12" s="16" t="inlineStr">
        <is>
          <t>VAVATENINA</t>
        </is>
      </c>
      <c r="C12" s="17" t="n"/>
      <c r="D12" s="16" t="n"/>
      <c r="E12" s="16" t="n"/>
      <c r="F12" s="13" t="inlineStr">
        <is>
          <t>Volana:…</t>
        </is>
      </c>
      <c r="G12" s="23">
        <f>VLOOKUP(MONTH('[1]DIAME IRSA'!D2),V1:W12,2)</f>
        <v/>
      </c>
      <c r="I12" s="16" t="n"/>
      <c r="V12" s="13" t="n">
        <v>12</v>
      </c>
      <c r="W12" s="13" t="inlineStr">
        <is>
          <t>Décembre</t>
        </is>
      </c>
    </row>
    <row r="13">
      <c r="A13" s="14" t="n"/>
      <c r="B13" s="14" t="n"/>
      <c r="C13" s="15" t="n"/>
      <c r="D13" s="14" t="n"/>
      <c r="E13" s="14" t="n"/>
      <c r="F13" s="15" t="inlineStr">
        <is>
          <t xml:space="preserve">Mois de </t>
        </is>
      </c>
      <c r="G13" s="24">
        <f>'[1]DIAME IRSA'!D2</f>
        <v/>
      </c>
      <c r="H13" s="14" t="n"/>
      <c r="I13" s="14" t="n"/>
    </row>
    <row r="14">
      <c r="A14" s="14" t="n"/>
      <c r="B14" s="14" t="n"/>
      <c r="C14" s="15" t="n"/>
      <c r="D14" s="14" t="n"/>
      <c r="E14" s="14" t="n"/>
      <c r="F14" s="11" t="n"/>
      <c r="H14" s="25" t="n"/>
      <c r="I14" s="14" t="n"/>
    </row>
    <row r="15">
      <c r="A15" s="11" t="inlineStr">
        <is>
          <t>Anarana sy fanampinan'anaran'ny fikambanana………………SOAKOJA  ………….………………... VAVATENINA</t>
        </is>
      </c>
      <c r="B15" s="14" t="n"/>
      <c r="C15" s="15" t="n"/>
      <c r="D15" s="14" t="n"/>
      <c r="E15" s="14" t="n"/>
      <c r="F15" s="14" t="n"/>
      <c r="G15" s="14" t="n"/>
      <c r="H15" s="14" t="n"/>
      <c r="I15" s="14" t="n"/>
    </row>
    <row r="16">
      <c r="A16" s="15" t="inlineStr">
        <is>
          <t>Nom et prénoms ou raison sociale</t>
        </is>
      </c>
      <c r="B16" s="14" t="n"/>
      <c r="C16" s="15" t="n"/>
      <c r="D16" s="14" t="n"/>
      <c r="E16" s="14" t="inlineStr">
        <is>
          <t>NIF</t>
        </is>
      </c>
      <c r="F16" s="26">
        <f>[1]EMPLOYEUR!C6</f>
        <v/>
      </c>
      <c r="G16" s="14" t="n"/>
      <c r="H16" s="14" t="n"/>
      <c r="I16" s="14" t="n"/>
    </row>
    <row r="17">
      <c r="A17" s="11" t="inlineStr">
        <is>
          <t>Nomerao statistique : 8810132201800019310</t>
        </is>
      </c>
      <c r="B17" s="14" t="n"/>
      <c r="D17" s="11" t="inlineStr">
        <is>
          <t>Nomerao CnaPs………………9C2137………(2)</t>
        </is>
      </c>
      <c r="E17" s="14" t="n"/>
      <c r="F17" s="14" t="n"/>
      <c r="G17" s="14" t="n"/>
      <c r="H17" s="14" t="n"/>
      <c r="I17" s="14" t="n"/>
    </row>
    <row r="18">
      <c r="A18" s="15" t="inlineStr">
        <is>
          <t>Numéro d'identification statistique</t>
        </is>
      </c>
      <c r="B18" s="14" t="n"/>
      <c r="C18" s="15" t="n"/>
      <c r="D18" s="14" t="n"/>
      <c r="E18" s="15" t="inlineStr">
        <is>
          <t xml:space="preserve">          Numéro CnaPs</t>
        </is>
      </c>
      <c r="F18" s="14" t="n"/>
      <c r="G18" s="14" t="n"/>
      <c r="H18" s="14" t="n"/>
      <c r="I18" s="14" t="n"/>
    </row>
    <row r="19">
      <c r="A19" s="11" t="inlineStr">
        <is>
          <t>Raharaha atao</t>
        </is>
      </c>
      <c r="B19" s="14" t="n"/>
      <c r="C19" s="15" t="inlineStr">
        <is>
          <t>………………………………….ONG..…………………………………………...………………………………</t>
        </is>
      </c>
      <c r="D19" s="14" t="n"/>
      <c r="E19" s="14" t="n"/>
      <c r="F19" s="14" t="n"/>
      <c r="G19" s="14" t="n"/>
      <c r="H19" s="14" t="n"/>
      <c r="I19" s="14" t="n"/>
    </row>
    <row r="20">
      <c r="A20" s="15" t="inlineStr">
        <is>
          <t>Nature de profession</t>
        </is>
      </c>
      <c r="B20" s="14" t="n"/>
      <c r="C20" s="15" t="n"/>
      <c r="D20" s="14" t="n"/>
      <c r="E20" s="14" t="n"/>
      <c r="F20" s="14" t="n"/>
      <c r="G20" s="14" t="n"/>
      <c r="H20" s="14" t="n"/>
      <c r="I20" s="14" t="n"/>
    </row>
    <row r="21">
      <c r="A21" s="11" t="inlineStr">
        <is>
          <t>Adiresy fonenan'ny toeram-piasana……………BEMASOANDRO VAVATENINA</t>
        </is>
      </c>
      <c r="B21" s="14" t="n"/>
      <c r="C21" s="15" t="n"/>
      <c r="D21" s="14" t="n"/>
      <c r="E21" s="14" t="n"/>
      <c r="F21" s="14" t="n"/>
      <c r="G21" s="14" t="n"/>
      <c r="H21" s="14" t="n"/>
      <c r="I21" s="14" t="inlineStr">
        <is>
          <t> </t>
        </is>
      </c>
    </row>
    <row r="22">
      <c r="A22" s="15" t="inlineStr">
        <is>
          <t>Adresse de la résidence ou d'établissement</t>
        </is>
      </c>
      <c r="B22" s="14" t="n"/>
      <c r="C22" s="15" t="n"/>
      <c r="D22" s="14" t="n"/>
      <c r="E22" s="14" t="n"/>
      <c r="F22" s="14" t="n"/>
      <c r="G22" s="14" t="n"/>
      <c r="H22" s="14" t="n"/>
      <c r="I22" s="14" t="n"/>
    </row>
    <row r="23" ht="13.5" customHeight="1">
      <c r="A23" s="11" t="inlineStr">
        <is>
          <t>Toerana misy ny sampana anaovana ity fandrotsaham-bola ity………………...……VAVATENINA………...……………………………</t>
        </is>
      </c>
      <c r="B23" s="14" t="n"/>
      <c r="C23" s="15" t="n"/>
      <c r="D23" s="14" t="n"/>
      <c r="E23" s="14" t="n"/>
      <c r="F23" s="14" t="n"/>
      <c r="G23" s="14" t="n"/>
      <c r="H23" s="14" t="n"/>
      <c r="I23" s="14" t="n"/>
    </row>
    <row r="24">
      <c r="A24" s="27" t="n"/>
      <c r="B24" s="28" t="n"/>
      <c r="C24" s="29" t="n"/>
      <c r="D24" s="28" t="n"/>
      <c r="E24" s="28" t="n"/>
      <c r="F24" s="28" t="n"/>
      <c r="G24" s="30" t="inlineStr">
        <is>
          <t>Hetra tandrify</t>
        </is>
      </c>
      <c r="H24" s="27" t="inlineStr">
        <is>
          <t>Faritra atokana ho an'</t>
        </is>
      </c>
      <c r="I24" s="31" t="n"/>
    </row>
    <row r="25">
      <c r="A25" s="32" t="n"/>
      <c r="B25" s="11" t="n"/>
      <c r="C25" s="11" t="inlineStr">
        <is>
          <t>Vola ho an'ny</t>
        </is>
      </c>
      <c r="D25" s="15" t="n"/>
      <c r="E25" s="11" t="n"/>
      <c r="F25" s="11" t="n"/>
      <c r="G25" s="33" t="inlineStr">
        <is>
          <t>(Impôts corres-</t>
        </is>
      </c>
      <c r="H25" s="32" t="inlineStr">
        <is>
          <t xml:space="preserve">       ny fanjakana </t>
        </is>
      </c>
      <c r="I25" s="34" t="n"/>
    </row>
    <row r="26">
      <c r="A26" s="32" t="n"/>
      <c r="B26" s="11" t="n"/>
      <c r="C26" s="15" t="inlineStr">
        <is>
          <t>Revenus versés aux</t>
        </is>
      </c>
      <c r="D26" s="15" t="n"/>
      <c r="E26" s="11" t="n"/>
      <c r="F26" s="11" t="n"/>
      <c r="G26" s="33" t="inlineStr">
        <is>
          <t>pondants</t>
        </is>
      </c>
      <c r="H26" s="35" t="inlineStr">
        <is>
          <t>Cadre réservé au service</t>
        </is>
      </c>
      <c r="I26" s="34" t="n"/>
    </row>
    <row r="27" ht="13.5" customHeight="1">
      <c r="A27" s="36" t="n"/>
      <c r="B27" s="37" t="n"/>
      <c r="C27" s="37" t="n"/>
      <c r="D27" s="37" t="n"/>
      <c r="E27" s="37" t="n"/>
      <c r="F27" s="37" t="n"/>
      <c r="G27" s="38" t="n"/>
      <c r="H27" s="39" t="inlineStr">
        <is>
          <t>des contributions directes</t>
        </is>
      </c>
      <c r="I27" s="40" t="n"/>
    </row>
    <row r="28">
      <c r="A28" s="41" t="inlineStr">
        <is>
          <t>1-Mpiasa raikitra</t>
        </is>
      </c>
      <c r="B28" s="28" t="n"/>
      <c r="C28" s="28" t="n"/>
      <c r="D28" s="28" t="inlineStr">
        <is>
          <t>Isany</t>
        </is>
      </c>
      <c r="E28" s="28" t="n"/>
      <c r="F28" s="42">
        <f>COUNTIF([1]!liste_paiement[Mois paiement],'bordereau IRSA'!G13)</f>
        <v/>
      </c>
      <c r="G28" s="43" t="n"/>
      <c r="H28" s="27" t="n"/>
      <c r="I28" s="31" t="n"/>
    </row>
    <row r="29" ht="16.5" customHeight="1">
      <c r="A29" s="35" t="inlineStr">
        <is>
          <t>Travailleurs permanents</t>
        </is>
      </c>
      <c r="B29" s="11" t="n"/>
      <c r="C29" s="14" t="n"/>
      <c r="D29" s="15" t="inlineStr">
        <is>
          <t>Nombre</t>
        </is>
      </c>
      <c r="E29" s="11" t="n"/>
      <c r="F29" s="38" t="n"/>
      <c r="G29" s="44">
        <f>SUMIF([1]!liste_paiement[Mois paiement],'[1]DIAME IRSA'!D2,[1]!liste_paiement[IRSA])</f>
        <v/>
      </c>
      <c r="H29" s="32" t="n"/>
      <c r="I29" s="34" t="n"/>
    </row>
    <row r="30" ht="15.75" customHeight="1">
      <c r="A30" s="32" t="n"/>
      <c r="B30" s="11" t="n"/>
      <c r="C30" s="11" t="n"/>
      <c r="D30" s="15" t="inlineStr">
        <is>
          <t>Karama raikitra</t>
        </is>
      </c>
      <c r="E30" s="11" t="n"/>
      <c r="F30" s="44">
        <f>SUMIF([1]!liste_paiement[Mois paiement],'[1]DIAME IRSA'!D2,[1]!liste_paiement[Base imposable])</f>
        <v/>
      </c>
      <c r="G30" s="45" t="n"/>
      <c r="H30" s="32" t="n"/>
      <c r="I30" s="34" t="n"/>
    </row>
    <row r="31" ht="16.5" customHeight="1">
      <c r="A31" s="32" t="n"/>
      <c r="B31" s="11" t="n"/>
      <c r="C31" s="11" t="n"/>
      <c r="D31" s="15" t="inlineStr">
        <is>
          <t>Rémunération net imposable</t>
        </is>
      </c>
      <c r="E31" s="11" t="n"/>
      <c r="F31" s="46" t="n"/>
      <c r="G31" s="47" t="n"/>
      <c r="H31" s="32" t="n"/>
      <c r="I31" s="34" t="n"/>
    </row>
    <row r="32" ht="15.75" customHeight="1">
      <c r="A32" s="32" t="inlineStr">
        <is>
          <t>Tsanganana faha- 25 amin'ny filazana laharana faha -254</t>
        </is>
      </c>
      <c r="B32" s="11" t="n"/>
      <c r="C32" s="11" t="n"/>
      <c r="D32" s="11" t="n"/>
      <c r="E32" s="11" t="n"/>
      <c r="F32" s="11" t="n"/>
      <c r="G32" s="44" t="n"/>
      <c r="H32" s="32" t="n"/>
      <c r="I32" s="34" t="n"/>
    </row>
    <row r="33" ht="16.5" customHeight="1">
      <c r="A33" s="35" t="inlineStr">
        <is>
          <t>Colonne 25 de l'état modèle n°254</t>
        </is>
      </c>
      <c r="B33" s="11" t="n"/>
      <c r="C33" s="11" t="n"/>
      <c r="D33" s="11" t="n"/>
      <c r="E33" s="11" t="n"/>
      <c r="F33" s="11" t="n"/>
      <c r="G33" s="44" t="n"/>
      <c r="H33" s="32" t="n"/>
      <c r="I33" s="34" t="n"/>
    </row>
    <row r="34" ht="15.75" customHeight="1">
      <c r="A34" s="48" t="inlineStr">
        <is>
          <t>II-Mpiasa an-tselika</t>
        </is>
      </c>
      <c r="B34" s="11" t="n"/>
      <c r="C34" s="11" t="n"/>
      <c r="D34" s="11" t="inlineStr">
        <is>
          <t>Isany</t>
        </is>
      </c>
      <c r="E34" s="11" t="n"/>
      <c r="F34" s="42" t="n"/>
      <c r="G34" s="44" t="n"/>
      <c r="H34" s="32" t="n"/>
      <c r="I34" s="34" t="n"/>
    </row>
    <row r="35" ht="16.5" customHeight="1">
      <c r="A35" s="35" t="inlineStr">
        <is>
          <t>Travailleurs occasionnels</t>
        </is>
      </c>
      <c r="B35" s="11" t="n"/>
      <c r="C35" s="11" t="n"/>
      <c r="D35" s="15" t="inlineStr">
        <is>
          <t>Nombre</t>
        </is>
      </c>
      <c r="E35" s="11" t="n"/>
      <c r="F35" s="49" t="n"/>
      <c r="G35" s="44" t="n"/>
      <c r="H35" s="32" t="n"/>
      <c r="I35" s="34" t="n"/>
    </row>
    <row r="36" ht="15.75" customHeight="1">
      <c r="A36" s="35" t="inlineStr">
        <is>
          <t>et assimilés</t>
        </is>
      </c>
      <c r="B36" s="11" t="n"/>
      <c r="C36" s="11" t="n"/>
      <c r="D36" s="11" t="inlineStr">
        <is>
          <t>Karama raikitra</t>
        </is>
      </c>
      <c r="E36" s="11" t="n"/>
      <c r="F36" s="50" t="n"/>
      <c r="G36" s="44" t="n"/>
      <c r="H36" s="32" t="n"/>
      <c r="I36" s="34" t="n"/>
    </row>
    <row r="37" ht="16.5" customHeight="1">
      <c r="A37" s="32" t="n"/>
      <c r="B37" s="11" t="n"/>
      <c r="C37" s="11" t="n"/>
      <c r="D37" s="15" t="inlineStr">
        <is>
          <t>Rémunération net imposable</t>
        </is>
      </c>
      <c r="E37" s="11" t="n"/>
      <c r="F37" s="49" t="n"/>
      <c r="G37" s="44" t="n"/>
      <c r="H37" s="32" t="n"/>
      <c r="I37" s="34" t="n"/>
    </row>
    <row r="38" ht="16.5" customHeight="1">
      <c r="A38" s="32" t="n"/>
      <c r="B38" s="11" t="n"/>
      <c r="C38" s="15" t="inlineStr">
        <is>
          <t>Masse globales de salaires  versés</t>
        </is>
      </c>
      <c r="D38" s="15" t="n"/>
      <c r="E38" s="11" t="n"/>
      <c r="F38" s="51">
        <f>F30</f>
        <v/>
      </c>
      <c r="G38" s="44" t="n"/>
      <c r="H38" s="32" t="n"/>
      <c r="I38" s="34" t="n"/>
    </row>
    <row r="39" ht="15.75" customHeight="1">
      <c r="A39" s="48" t="inlineStr">
        <is>
          <t>Ampahany alaina ho hetra 2 isan-jato</t>
        </is>
      </c>
      <c r="B39" s="11" t="n"/>
      <c r="C39" s="11" t="n"/>
      <c r="D39" s="15" t="n"/>
      <c r="E39" s="11" t="n"/>
      <c r="F39" s="11" t="n"/>
      <c r="G39" s="44" t="n"/>
      <c r="H39" s="32" t="n"/>
      <c r="I39" s="34" t="n"/>
    </row>
    <row r="40" ht="16.5" customHeight="1">
      <c r="A40" s="35" t="inlineStr">
        <is>
          <t>Taux de l'impôt 2 pour cent</t>
        </is>
      </c>
      <c r="B40" s="11" t="n"/>
      <c r="C40" s="11" t="n"/>
      <c r="D40" s="15" t="n"/>
      <c r="E40" s="11" t="n"/>
      <c r="F40" s="11" t="n"/>
      <c r="G40" s="44" t="n"/>
      <c r="H40" s="32" t="n"/>
      <c r="I40" s="34" t="n"/>
    </row>
    <row r="41" ht="16.5" customHeight="1">
      <c r="A41" s="32" t="n"/>
      <c r="B41" s="11" t="n"/>
      <c r="C41" s="11" t="n"/>
      <c r="D41" s="11" t="n"/>
      <c r="E41" s="14" t="inlineStr">
        <is>
          <t>Fitambaran'ny hetra………</t>
        </is>
      </c>
      <c r="F41" s="11" t="n"/>
      <c r="G41" s="52">
        <f>G29</f>
        <v/>
      </c>
      <c r="H41" s="11" t="n"/>
      <c r="I41" s="34" t="n"/>
    </row>
    <row r="42" ht="16.5" customHeight="1">
      <c r="A42" s="32" t="n"/>
      <c r="B42" s="11" t="n"/>
      <c r="C42" s="11" t="n"/>
      <c r="D42" s="11" t="n"/>
      <c r="E42" s="15" t="inlineStr">
        <is>
          <t>Taux de l'impôt</t>
        </is>
      </c>
      <c r="F42" s="11" t="n"/>
      <c r="G42" s="44" t="n"/>
      <c r="H42" s="32" t="n"/>
      <c r="I42" s="34" t="n"/>
    </row>
    <row r="43">
      <c r="A43" s="41" t="inlineStr">
        <is>
          <t xml:space="preserve">    Fomba fandoavana ny vola</t>
        </is>
      </c>
      <c r="B43" s="28" t="n"/>
      <c r="C43" s="28" t="n"/>
      <c r="D43" s="28" t="n"/>
      <c r="E43" s="53" t="inlineStr">
        <is>
          <t>VOLA VOARAY</t>
        </is>
      </c>
      <c r="F43" s="54" t="inlineStr">
        <is>
          <t>Sazy</t>
        </is>
      </c>
      <c r="G43" s="43" t="n"/>
      <c r="H43" s="11" t="n"/>
      <c r="I43" s="34" t="n"/>
    </row>
    <row r="44">
      <c r="A44" s="55" t="inlineStr">
        <is>
          <t xml:space="preserve">          Mode de paiement utilisé</t>
        </is>
      </c>
      <c r="B44" s="56" t="n"/>
      <c r="C44" s="56" t="n"/>
      <c r="D44" s="56" t="n"/>
      <c r="E44" s="55" t="inlineStr">
        <is>
          <t>Prise en charge</t>
        </is>
      </c>
      <c r="F44" s="57" t="inlineStr">
        <is>
          <t>Pénalité</t>
        </is>
      </c>
      <c r="G44" s="58" t="n"/>
      <c r="H44" s="11" t="n"/>
      <c r="I44" s="34" t="n"/>
    </row>
    <row r="45">
      <c r="A45" s="59" t="inlineStr">
        <is>
          <t>Lelavola</t>
        </is>
      </c>
      <c r="B45" s="60" t="inlineStr">
        <is>
          <t>Taratasim-</t>
        </is>
      </c>
      <c r="C45" s="60">
        <f>B45</f>
        <v/>
      </c>
      <c r="D45" s="61" t="inlineStr">
        <is>
          <t xml:space="preserve">Fomba </t>
        </is>
      </c>
      <c r="E45" s="62" t="inlineStr">
        <is>
          <t>Ny vola</t>
        </is>
      </c>
      <c r="F45" s="63" t="inlineStr">
        <is>
          <t>Ny amerana azy</t>
        </is>
      </c>
      <c r="G45" s="64" t="n"/>
      <c r="H45" s="65" t="n"/>
      <c r="I45" s="66" t="n"/>
    </row>
    <row r="46">
      <c r="A46" s="67" t="inlineStr">
        <is>
          <t>Espece</t>
        </is>
      </c>
      <c r="B46" s="68" t="inlineStr">
        <is>
          <t>bola banky</t>
        </is>
      </c>
      <c r="C46" s="68" t="inlineStr">
        <is>
          <t>bola postaly</t>
        </is>
      </c>
      <c r="D46" s="63" t="inlineStr">
        <is>
          <t>hafa</t>
        </is>
      </c>
      <c r="E46" s="69" t="inlineStr">
        <is>
          <t>La somme de:</t>
        </is>
      </c>
      <c r="F46" s="70" t="inlineStr">
        <is>
          <t>Base</t>
        </is>
      </c>
      <c r="G46" s="64" t="n"/>
      <c r="H46" s="65" t="n"/>
      <c r="I46" s="66" t="n"/>
    </row>
    <row r="47" ht="13.5" customHeight="1">
      <c r="A47" s="71" t="n"/>
      <c r="B47" s="72" t="inlineStr">
        <is>
          <t>Chèque BANC</t>
        </is>
      </c>
      <c r="C47" s="73" t="inlineStr">
        <is>
          <t>Chèque Post.</t>
        </is>
      </c>
      <c r="D47" s="74" t="inlineStr">
        <is>
          <t>Autres</t>
        </is>
      </c>
      <c r="E47" s="69" t="inlineStr">
        <is>
          <t>……………</t>
        </is>
      </c>
      <c r="F47" s="63" t="inlineStr">
        <is>
          <t>………………..</t>
        </is>
      </c>
      <c r="G47" s="64" t="n"/>
      <c r="H47" s="65" t="n"/>
      <c r="I47" s="66" t="n"/>
    </row>
    <row r="48">
      <c r="A48" s="48" t="inlineStr">
        <is>
          <t xml:space="preserve">VAVATENINA, FAHA    </t>
        </is>
      </c>
      <c r="B48" s="11" t="n"/>
      <c r="C48" s="11" t="n"/>
      <c r="D48" s="11" t="n"/>
      <c r="E48" s="53" t="inlineStr">
        <is>
          <t>Vaninandro</t>
        </is>
      </c>
      <c r="F48" s="28" t="n"/>
      <c r="G48" s="75" t="inlineStr">
        <is>
          <t>Ampahany alaina</t>
        </is>
      </c>
      <c r="H48" s="28" t="n"/>
      <c r="I48" s="31" t="n"/>
    </row>
    <row r="49" ht="13.5" customHeight="1">
      <c r="A49" s="76" t="inlineStr">
        <is>
          <t>Le</t>
        </is>
      </c>
      <c r="B49" s="77" t="n"/>
      <c r="D49" s="78" t="n"/>
      <c r="E49" s="62" t="inlineStr">
        <is>
          <t>Date</t>
        </is>
      </c>
      <c r="F49" s="65" t="n"/>
      <c r="G49" s="11" t="n"/>
      <c r="H49" s="11" t="n"/>
      <c r="I49" s="34" t="n"/>
    </row>
    <row r="50" ht="13.5" customHeight="1">
      <c r="A50" s="32" t="n"/>
      <c r="B50" s="11" t="n"/>
      <c r="C50" s="11" t="n"/>
      <c r="D50" s="11" t="n"/>
      <c r="E50" s="79" t="inlineStr">
        <is>
          <t xml:space="preserve">Nomeraon'ny </t>
        </is>
      </c>
      <c r="F50" s="80" t="inlineStr">
        <is>
          <t>Vola  aloa</t>
        </is>
      </c>
      <c r="G50" s="30" t="n"/>
      <c r="H50" s="81" t="n"/>
      <c r="I50" s="82" t="n"/>
    </row>
    <row r="51" ht="13.5" customHeight="1">
      <c r="A51" s="32" t="n"/>
      <c r="B51" s="15" t="inlineStr">
        <is>
          <t>Signature</t>
        </is>
      </c>
      <c r="C51" s="11" t="n"/>
      <c r="D51" s="11" t="n"/>
      <c r="E51" s="69" t="inlineStr">
        <is>
          <t>Numéro de la</t>
        </is>
      </c>
      <c r="F51" s="11" t="n"/>
      <c r="G51" s="38" t="n"/>
      <c r="H51" s="32" t="n"/>
      <c r="I51" s="34" t="n"/>
    </row>
    <row r="52" ht="13.5" customHeight="1">
      <c r="A52" s="32" t="n"/>
      <c r="B52" s="11" t="n"/>
      <c r="C52" s="11" t="n"/>
      <c r="D52" s="11" t="n"/>
      <c r="E52" s="69" t="inlineStr">
        <is>
          <t>quittance</t>
        </is>
      </c>
      <c r="F52" s="11" t="n"/>
      <c r="G52" s="11" t="n"/>
      <c r="H52" s="32" t="n"/>
      <c r="I52" s="34" t="n"/>
    </row>
    <row r="53" ht="13.5" customHeight="1">
      <c r="A53" s="32" t="n"/>
      <c r="B53" s="11" t="n"/>
      <c r="C53" s="11" t="n"/>
      <c r="D53" s="11" t="n"/>
      <c r="E53" s="83" t="inlineStr">
        <is>
          <t>Fitambaran'ny vola aloa…..</t>
        </is>
      </c>
      <c r="F53" s="84" t="n"/>
      <c r="G53" s="85" t="n"/>
      <c r="H53" s="84" t="n"/>
      <c r="I53" s="82" t="n"/>
    </row>
    <row r="54" ht="13.5" customHeight="1">
      <c r="A54" s="32" t="n"/>
      <c r="B54" s="11" t="n"/>
      <c r="C54" s="11" t="n"/>
      <c r="D54" s="11" t="n"/>
      <c r="E54" s="39" t="inlineStr">
        <is>
          <t>Total à  payer</t>
        </is>
      </c>
      <c r="F54" s="11" t="n"/>
      <c r="G54" s="86" t="n"/>
      <c r="H54" s="11" t="n"/>
      <c r="I54" s="34" t="n"/>
    </row>
    <row r="55">
      <c r="A55" s="27" t="inlineStr">
        <is>
          <t>(1) Tsipiho izay tsy izy</t>
        </is>
      </c>
      <c r="B55" s="28" t="n"/>
      <c r="C55" s="28" t="n"/>
      <c r="D55" s="28" t="n"/>
      <c r="E55" s="28" t="inlineStr">
        <is>
          <t>(2) Nomerao maha   mpapiasa</t>
        </is>
      </c>
      <c r="F55" s="28" t="n"/>
      <c r="G55" s="28" t="inlineStr">
        <is>
          <t xml:space="preserve">    (3) Mariho ny fomba nampiasaina</t>
        </is>
      </c>
      <c r="H55" s="28" t="n"/>
      <c r="I55" s="31" t="n"/>
    </row>
    <row r="56" ht="13.5" customHeight="1">
      <c r="A56" s="39" t="inlineStr">
        <is>
          <t>Rayer la mention inutile</t>
        </is>
      </c>
      <c r="B56" s="37" t="n"/>
      <c r="C56" s="37" t="n"/>
      <c r="D56" s="37" t="n"/>
      <c r="E56" s="87" t="inlineStr">
        <is>
          <t>Numéro de l'employeur</t>
        </is>
      </c>
      <c r="F56" s="37" t="n"/>
      <c r="G56" s="87" t="inlineStr">
        <is>
          <t xml:space="preserve">         Côcher la case utilisée</t>
        </is>
      </c>
      <c r="H56" s="37" t="n"/>
      <c r="I56" s="40" t="n"/>
    </row>
  </sheetData>
  <mergeCells count="1">
    <mergeCell ref="B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2025-11-24T14:50:48Z</dcterms:created>
  <dcterms:modified xsi:type="dcterms:W3CDTF">2025-11-24T14:55:01Z</dcterms:modified>
</cp:coreProperties>
</file>