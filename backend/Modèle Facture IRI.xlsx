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r Soakoja\Documents\Formation appli web\hydria nuxt django\backend\"/>
    </mc:Choice>
  </mc:AlternateContent>
  <xr:revisionPtr revIDLastSave="0" documentId="8_{8B4F5AD0-BADB-4C10-9332-2033F18DD64E}" xr6:coauthVersionLast="47" xr6:coauthVersionMax="47" xr10:uidLastSave="{00000000-0000-0000-0000-000000000000}"/>
  <bookViews>
    <workbookView xWindow="-120" yWindow="-120" windowWidth="29040" windowHeight="15720" activeTab="1" xr2:uid="{0F5E72A3-1BFC-48B2-9E95-B2776F27496A}"/>
  </bookViews>
  <sheets>
    <sheet name="Déclaration IRI" sheetId="1" r:id="rId1"/>
    <sheet name="Annexe IRI" sheetId="2" r:id="rId2"/>
  </sheets>
  <externalReferences>
    <externalReference r:id="rId3"/>
  </externalReferences>
  <definedNames>
    <definedName name="Checker">#REF!</definedName>
    <definedName name="Comptes">#REF!</definedName>
    <definedName name="Comptes1">#REF!</definedName>
    <definedName name="Controle">#REF!</definedName>
    <definedName name="_xlnm.Print_Titles" localSheetId="1">'Annexe IRI'!$9:$11</definedName>
    <definedName name="Journaux">#REF!</definedName>
    <definedName name="PlageDynamique">OFFSET(#REF!,,,COUNTIF(#REF!,"?*")-1)</definedName>
    <definedName name="SME_2019">#REF!</definedName>
    <definedName name="_xlnm.Print_Area" localSheetId="1">'Annexe IRI'!$A$1:$J$208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isie compta Soakoja-3197568f-c80d-45ef-a8f1-01b26f83e120" name="Saisie compta Soakoja" connection="Requête - Saisie compta Soakoja"/>
        </x15:modelTables>
        <x15:extLst>
          <ext xmlns:x16="http://schemas.microsoft.com/office/spreadsheetml/2014/11/main" uri="{9835A34E-60A6-4A7C-AAB8-D5F71C897F49}">
            <x16:modelTimeGroupings>
              <x16:modelTimeGrouping tableName="Saisie compta Soakoja" columnName="Date" columnId="Date">
                <x16:calculatedTimeColumn columnName="Date (index des mois)1" columnId="Date (index des mois)1" contentType="monthsindex" isSelected="1"/>
                <x16:calculatedTimeColumn columnName="Date (mois)1" columnId="Date (mois)1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I206" i="2"/>
  <c r="I148" i="2"/>
  <c r="I107" i="2"/>
  <c r="I14" i="2"/>
  <c r="I207" i="2" s="1"/>
  <c r="J23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150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09" i="2"/>
  <c r="J17" i="2"/>
  <c r="J18" i="2"/>
  <c r="J19" i="2"/>
  <c r="J20" i="2"/>
  <c r="J21" i="2"/>
  <c r="J22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6" i="2"/>
  <c r="J13" i="2"/>
  <c r="E27" i="1"/>
  <c r="E25" i="1"/>
  <c r="E23" i="1"/>
  <c r="E19" i="1"/>
  <c r="G31" i="1"/>
  <c r="J206" i="2" l="1"/>
  <c r="J107" i="2"/>
  <c r="J148" i="2"/>
  <c r="J14" i="2"/>
  <c r="J207" i="2" s="1"/>
  <c r="G3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EF9B1F-518C-408E-87D5-F7E93ABC8081}" keepAlive="1" name="Requête - Adresses" description="Connexion à la requête « Adresses » dans le classeur." type="5" refreshedVersion="0" background="1">
    <dbPr connection="Provider=Microsoft.Mashup.OleDb.1;Data Source=$Workbook$;Location=Adresses;Extended Properties=&quot;&quot;" command="SELECT * FROM [Adresses]"/>
  </connection>
  <connection id="2" xr16:uid="{AB681039-CA9F-4040-BC97-37197B11D3A8}" keepAlive="1" name="Requête - CodesPostaux" description="Connexion à la requête « CodesPostaux » dans le classeur." type="5" refreshedVersion="0" background="1">
    <dbPr connection="Provider=Microsoft.Mashup.OleDb.1;Data Source=$Workbook$;Location=CodesPostaux;Extended Properties=&quot;&quot;" command="SELECT * FROM [CodesPostaux]"/>
  </connection>
  <connection id="3" xr16:uid="{6A231CBA-01EC-4F45-8E27-CDC4D7A808BB}" keepAlive="1" name="Requête - DATABankRec (2)" description="Connexion à la requête « DATABankRec (2) » dans le classeur." type="5" refreshedVersion="0" background="1">
    <dbPr connection="Provider=Microsoft.Mashup.OleDb.1;Data Source=$Workbook$;Location=&quot;DATABankRec (2)&quot;;Extended Properties=&quot;&quot;" command="SELECT * FROM [DATABankRec (2)]"/>
  </connection>
  <connection id="4" xr16:uid="{07193283-4C3B-40E2-B8EC-5CC26BE50DBB}" keepAlive="1" name="Requête - DATABankRec (3)" description="Connexion à la requête « DATABankRec (3) » dans le classeur." type="5" refreshedVersion="0" background="1">
    <dbPr connection="Provider=Microsoft.Mashup.OleDb.1;Data Source=$Workbook$;Location=&quot;DATABankRec (3)&quot;;Extended Properties=&quot;&quot;" command="SELECT * FROM [DATABankRec (3)]"/>
  </connection>
  <connection id="5" xr16:uid="{E9B25A2B-51BD-4474-B252-FC3E9F3B3373}" keepAlive="1" name="Requête - Ouvrages" description="Connexion à la requête « Ouvrages » dans le classeur." type="5" refreshedVersion="0" background="1">
    <dbPr connection="Provider=Microsoft.Mashup.OleDb.1;Data Source=$Workbook$;Location=Ouvrages;Extended Properties=&quot;&quot;" command="SELECT * FROM [Ouvrages]"/>
  </connection>
  <connection id="6" xr16:uid="{35C4AE0E-DEE8-42F2-9A36-049E82F8C9A3}" keepAlive="1" name="Requête - PlanComptes" description="Connexion à la requête « PlanComptes » dans le classeur." type="5" refreshedVersion="0" background="1">
    <dbPr connection="Provider=Microsoft.Mashup.OleDb.1;Data Source=$Workbook$;Location=PlanComptes;Extended Properties=&quot;&quot;" command="SELECT * FROM [PlanComptes]"/>
  </connection>
  <connection id="7" xr16:uid="{1A089C15-F324-4027-B9F0-16C1572232C7}" keepAlive="1" name="Requête - RepertoireFournisseurs" description="Connexion à la requête « RepertoireFournisseurs » dans le classeur." type="5" refreshedVersion="0" background="1">
    <dbPr connection="Provider=Microsoft.Mashup.OleDb.1;Data Source=$Workbook$;Location=RepertoireFournisseurs;Extended Properties=&quot;&quot;" command="SELECT * FROM [RepertoireFournisseurs]"/>
  </connection>
  <connection id="8" xr16:uid="{5CC27773-3CA3-4EE8-BA26-E958F697A0F1}" name="Requête - Saisie compta Soakoja" description="Connexion à la requête « Saisie compta Soakoja » dans le classeur." type="100" refreshedVersion="8" minRefreshableVersion="5">
    <extLst>
      <ext xmlns:x15="http://schemas.microsoft.com/office/spreadsheetml/2010/11/main" uri="{DE250136-89BD-433C-8126-D09CA5730AF9}">
        <x15:connection id="23c801bb-1bf7-414b-8d51-4dc8024c87cf">
          <x15:oledbPr connection="Provider=Microsoft.Mashup.OleDb.1;Data Source=$Workbook$;Location=&quot;Saisie compta Soakoja&quot;;Extended Properties=&quot;&quot;">
            <x15:dbTables>
              <x15:dbTable name="Saisie compta Soakoja"/>
            </x15:dbTables>
          </x15:oledbPr>
        </x15:connection>
      </ext>
    </extLst>
  </connection>
  <connection id="9" xr16:uid="{00000000-0015-0000-FFFF-FFFF1F000000}" keepAlive="1" name="ThisWorkbookDataModel" description="Modèle de donnée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<sst xmlns="http://schemas.openxmlformats.org/spreadsheetml/2006/main" count="982" uniqueCount="430">
  <si>
    <t>REPOBLIKAN’I MADAGASIKARA</t>
  </si>
  <si>
    <t>Fitiavana – Tanindrazana - Fandrosoana</t>
  </si>
  <si>
    <t>MINISTERE</t>
  </si>
  <si>
    <t>DES FINANCES ET DU BUDGET</t>
  </si>
  <si>
    <t>-----</t>
  </si>
  <si>
    <t>SECRETARIAT GENERAL</t>
  </si>
  <si>
    <t>DIRECTION GENERALE DES IMPOTS</t>
  </si>
  <si>
    <t>PARTIE 1/</t>
  </si>
  <si>
    <t>Nom et Prénoms :</t>
  </si>
  <si>
    <t>ou</t>
  </si>
  <si>
    <t>Raison sociale de l’entreprise :</t>
  </si>
  <si>
    <t>Adresse :</t>
  </si>
  <si>
    <t>Siège social de l’entreprise :</t>
  </si>
  <si>
    <t>NIF :</t>
  </si>
  <si>
    <t>Période :</t>
  </si>
  <si>
    <r>
      <rPr>
        <u/>
        <sz val="11"/>
        <color theme="1"/>
        <rFont val="Calibri"/>
        <family val="2"/>
        <scheme val="minor"/>
      </rPr>
      <t>PARTIE 2/</t>
    </r>
    <r>
      <rPr>
        <sz val="11"/>
        <color theme="1"/>
        <rFont val="Calibri"/>
        <family val="2"/>
        <scheme val="minor"/>
      </rPr>
      <t xml:space="preserve"> DECLARATION ET LIQUIDATION</t>
    </r>
  </si>
  <si>
    <t>(10) MONTANT TOTAL ACHATS</t>
  </si>
  <si>
    <t>(10)</t>
  </si>
  <si>
    <t>(20) TAUX [5%]</t>
  </si>
  <si>
    <t>(20)</t>
  </si>
  <si>
    <t>(30) IMPÔT A PAYER [10 X 20]</t>
  </si>
  <si>
    <t>(30)</t>
  </si>
  <si>
    <t>Je certifie que les informations fournies sont correctes, et complètes sur l’impôt correspondant.</t>
  </si>
  <si>
    <t>Signature : _______________________________________ Date : ____________________</t>
  </si>
  <si>
    <t>Titre : ___________________________________________</t>
  </si>
  <si>
    <t>Signature de l’Administration fiscale</t>
  </si>
  <si>
    <t>NB :</t>
  </si>
  <si>
    <t>- Pénalité pour défaut de dépôt : 100 000 Ar (Art.20.1.52 du CGI)</t>
  </si>
  <si>
    <t>- Intérêt de retard de paiement 1% par mois de retard (Art. 20.0.53 du CGI)</t>
  </si>
  <si>
    <t>ANNEXE A LA DECLARATION DE L'IR INTERMITTENT (art. 01-01-05, 01-01-10, 01-01-14-II 6è alinéa du CGI)</t>
  </si>
  <si>
    <t>- Nom et prenoms ou Raison sociale de l'entreprise effectuant la déclaration :</t>
  </si>
  <si>
    <t>SOAKOJA</t>
  </si>
  <si>
    <t>- NIF :</t>
  </si>
  <si>
    <t>- Adresse ou Siège social :</t>
  </si>
  <si>
    <t>Bemasoandro Vavatenina</t>
  </si>
  <si>
    <t xml:space="preserve">Nom et prénoms du fournisseur </t>
  </si>
  <si>
    <t xml:space="preserve">N° CIN </t>
  </si>
  <si>
    <t>Adresse</t>
  </si>
  <si>
    <t>Nature des opérations d'achats</t>
  </si>
  <si>
    <t>IR intermittent</t>
  </si>
  <si>
    <t xml:space="preserve">Date de l'achat </t>
  </si>
  <si>
    <t>Libellé de l'achat</t>
  </si>
  <si>
    <t>Détail</t>
  </si>
  <si>
    <t>Montant
 (1)</t>
  </si>
  <si>
    <t>(2) = (1) x 5%</t>
  </si>
  <si>
    <t xml:space="preserve">Unité </t>
  </si>
  <si>
    <t>PU</t>
  </si>
  <si>
    <t>BURVAVSKJ</t>
  </si>
  <si>
    <t>VAVY TIANA DEA</t>
  </si>
  <si>
    <t>315302008256</t>
  </si>
  <si>
    <t>Vavatenina</t>
  </si>
  <si>
    <t>Loyer buro VVT</t>
  </si>
  <si>
    <t>Mois</t>
  </si>
  <si>
    <t>Total BURVAVSKJ</t>
  </si>
  <si>
    <t>EHAFNVSKJ</t>
  </si>
  <si>
    <t>Mr GENORD</t>
  </si>
  <si>
    <t>(vide)</t>
  </si>
  <si>
    <t>Frais d'envoi colis machine vibrateur</t>
  </si>
  <si>
    <t>Fft</t>
  </si>
  <si>
    <t>JAONAH Laihoa Sylvestre</t>
  </si>
  <si>
    <t>305011018829</t>
  </si>
  <si>
    <t>Fénérive Est</t>
  </si>
  <si>
    <t>Boîte métallique robinet</t>
  </si>
  <si>
    <t>U</t>
  </si>
  <si>
    <t>Mr SIANO</t>
  </si>
  <si>
    <t>Frais d'envoi colis pièces compta</t>
  </si>
  <si>
    <t>ANDRE</t>
  </si>
  <si>
    <t>315011027659</t>
  </si>
  <si>
    <t>FIDY Maminiaina</t>
  </si>
  <si>
    <t>Frais d'envoi colis matériaux</t>
  </si>
  <si>
    <t>Mr Jacquinot</t>
  </si>
  <si>
    <t>Frais colis moule compteur</t>
  </si>
  <si>
    <t>NIRIA Leonardine</t>
  </si>
  <si>
    <t>305192000705</t>
  </si>
  <si>
    <t>Vohipeno</t>
  </si>
  <si>
    <t>Frais colis pièces compta</t>
  </si>
  <si>
    <t>BENJA Chauffeur</t>
  </si>
  <si>
    <t>Frais d'envoi colis Boite métalique</t>
  </si>
  <si>
    <t>Mr Jimmy</t>
  </si>
  <si>
    <t>Ampasimbe Manantsatrana</t>
  </si>
  <si>
    <t>Frais d'envoi colis carton</t>
  </si>
  <si>
    <t>NAIVOSON Germain</t>
  </si>
  <si>
    <t>305051006048</t>
  </si>
  <si>
    <t>Tanambazaha</t>
  </si>
  <si>
    <t>MO decapage et Nettoyage AH</t>
  </si>
  <si>
    <t>RAZAKA MAHEFA Albert</t>
  </si>
  <si>
    <t>305051005264</t>
  </si>
  <si>
    <t>Mahadilo II</t>
  </si>
  <si>
    <t>Nettoyage AH</t>
  </si>
  <si>
    <t>MIHARY Nomenjanahary</t>
  </si>
  <si>
    <t>305051008515</t>
  </si>
  <si>
    <t>Mahadilo I</t>
  </si>
  <si>
    <t>ROLLANCE Ambatobe</t>
  </si>
  <si>
    <t>305071014916</t>
  </si>
  <si>
    <t>Ambatobe Ampasina Maningory</t>
  </si>
  <si>
    <t>Total général</t>
  </si>
  <si>
    <t>CONSTANT</t>
  </si>
  <si>
    <t>314071012884</t>
  </si>
  <si>
    <t>Ambinanindranomena</t>
  </si>
  <si>
    <t>RALISON Robain</t>
  </si>
  <si>
    <t>305011022348</t>
  </si>
  <si>
    <t>Ambodihasina</t>
  </si>
  <si>
    <t>INGAHY Rabedison</t>
  </si>
  <si>
    <t>305051013517</t>
  </si>
  <si>
    <t>Ambodiforaha 2 villages</t>
  </si>
  <si>
    <t>MANANA Germain Alexis</t>
  </si>
  <si>
    <t>305011015353</t>
  </si>
  <si>
    <t>Mangoandrano</t>
  </si>
  <si>
    <t>RAMAZAVA Benoit Faustin</t>
  </si>
  <si>
    <t>305911031515</t>
  </si>
  <si>
    <t>Andratambe Ambatoharanana</t>
  </si>
  <si>
    <t>TOTO Hyacinte</t>
  </si>
  <si>
    <t>305111009175</t>
  </si>
  <si>
    <t>Vohilengo</t>
  </si>
  <si>
    <t>YOURI VINCENT</t>
  </si>
  <si>
    <t>301052004104</t>
  </si>
  <si>
    <t>RAZAKA SADORO</t>
  </si>
  <si>
    <t>305111008922</t>
  </si>
  <si>
    <t>Décapage</t>
  </si>
  <si>
    <t>SAMIEN</t>
  </si>
  <si>
    <t>305151004779</t>
  </si>
  <si>
    <t>Andongozabe</t>
  </si>
  <si>
    <t>Moellon</t>
  </si>
  <si>
    <t>BEZARA Octon</t>
  </si>
  <si>
    <t>305251015059</t>
  </si>
  <si>
    <t>Sable</t>
  </si>
  <si>
    <t>m3</t>
  </si>
  <si>
    <t>LEONARD Christian</t>
  </si>
  <si>
    <t>305031016101</t>
  </si>
  <si>
    <t>Transport à dos d'homme</t>
  </si>
  <si>
    <t>RALAIMANANA Fabien</t>
  </si>
  <si>
    <t>301071018952</t>
  </si>
  <si>
    <t>Transport en pirogue</t>
  </si>
  <si>
    <t>THONY Justome</t>
  </si>
  <si>
    <t>315031005165</t>
  </si>
  <si>
    <t>Morarano</t>
  </si>
  <si>
    <t>Transport à dos d'homme matériaux</t>
  </si>
  <si>
    <t>NARISON Eveno</t>
  </si>
  <si>
    <t>305051018029</t>
  </si>
  <si>
    <t>Ambodivoanio</t>
  </si>
  <si>
    <t>Frais d'envoi colis moule trappe de visite</t>
  </si>
  <si>
    <t>Frais colis moule trappe de visite</t>
  </si>
  <si>
    <t>JUNOT</t>
  </si>
  <si>
    <t>305211013738</t>
  </si>
  <si>
    <t>MO creusement canal</t>
  </si>
  <si>
    <t>M</t>
  </si>
  <si>
    <t>MENA Anderson</t>
  </si>
  <si>
    <t>305011011657</t>
  </si>
  <si>
    <t>Essence et  Location groupe</t>
  </si>
  <si>
    <t>MINTINA Onika</t>
  </si>
  <si>
    <t>305251000239</t>
  </si>
  <si>
    <t>Ambanja</t>
  </si>
  <si>
    <t>MO installation BP</t>
  </si>
  <si>
    <t>Journée</t>
  </si>
  <si>
    <t>RAZAFY Rabarinala Britho</t>
  </si>
  <si>
    <t>305031018981</t>
  </si>
  <si>
    <t>Anjahamarina Ambanja</t>
  </si>
  <si>
    <t>RAZAFIBEANJARA Dorice</t>
  </si>
  <si>
    <t>305251014377</t>
  </si>
  <si>
    <t>AVOTRO Marie Nnantenaina</t>
  </si>
  <si>
    <t>305252013245</t>
  </si>
  <si>
    <t>Prestation cuisinier</t>
  </si>
  <si>
    <t>Gerald</t>
  </si>
  <si>
    <t>Frais colis fiche de paie Félix</t>
  </si>
  <si>
    <t>RAZAFINDRAKALO Noel Alex</t>
  </si>
  <si>
    <t>305011016855</t>
  </si>
  <si>
    <t>MO vidange</t>
  </si>
  <si>
    <t>RAFIDIMANANA KALOBE Bonaventure</t>
  </si>
  <si>
    <t>302011010184</t>
  </si>
  <si>
    <t>Essence et Location groupe</t>
  </si>
  <si>
    <t>KALAMA Lido</t>
  </si>
  <si>
    <t>305251000010</t>
  </si>
  <si>
    <t>MO purge tuyau principale</t>
  </si>
  <si>
    <t>EVARISTE Ernest</t>
  </si>
  <si>
    <t>310031008351</t>
  </si>
  <si>
    <t>MO réparation vanne kiosque</t>
  </si>
  <si>
    <t>MO réparation tuyau citerne Lycée</t>
  </si>
  <si>
    <t>MO déplacement kiosque 09</t>
  </si>
  <si>
    <t>MO déplacement kiosque 31</t>
  </si>
  <si>
    <t>MO déplacement kiosque 33</t>
  </si>
  <si>
    <t>Journé</t>
  </si>
  <si>
    <t>MO installation BP 74</t>
  </si>
  <si>
    <t>Frais colis</t>
  </si>
  <si>
    <t>Fournitures dont Enveloppe GM</t>
  </si>
  <si>
    <t>Enveloppe GM</t>
  </si>
  <si>
    <t>Mr LOVA</t>
  </si>
  <si>
    <t>Frais d'envoi colis manchon</t>
  </si>
  <si>
    <t>Mr Richard</t>
  </si>
  <si>
    <t>Mr Benja</t>
  </si>
  <si>
    <t>Frais colis pièces Fanainga</t>
  </si>
  <si>
    <t>Frais d'envoi colis chèque de banque</t>
  </si>
  <si>
    <t>Doro chauffeur</t>
  </si>
  <si>
    <t>Frais d'envoi colis pièces</t>
  </si>
  <si>
    <t>ARSON</t>
  </si>
  <si>
    <t>315091512031</t>
  </si>
  <si>
    <t>Matériaux dontCiment</t>
  </si>
  <si>
    <t>RAMAZAVA Bruto</t>
  </si>
  <si>
    <t>305091009486</t>
  </si>
  <si>
    <t>Lohariana</t>
  </si>
  <si>
    <t>Transport à dos d'homme ciment</t>
  </si>
  <si>
    <t>DORIS</t>
  </si>
  <si>
    <t>305321005907</t>
  </si>
  <si>
    <t>Transport matériaux</t>
  </si>
  <si>
    <t>Frais colis manchon</t>
  </si>
  <si>
    <t>RANDRIANTSOA Tino</t>
  </si>
  <si>
    <t>310002001588</t>
  </si>
  <si>
    <t>Transport ciment</t>
  </si>
  <si>
    <t>HAJA</t>
  </si>
  <si>
    <t>Mr Aina Trans bouhier</t>
  </si>
  <si>
    <t>SAKAIZANIRINA Roberto Réno</t>
  </si>
  <si>
    <t>Frais d'envoi colis 2 bidon d'essence</t>
  </si>
  <si>
    <t>CLARE</t>
  </si>
  <si>
    <t>305091004328</t>
  </si>
  <si>
    <t>Manakambahiny</t>
  </si>
  <si>
    <t>MO réparation cloture BF6</t>
  </si>
  <si>
    <t>RAZAFIARISOA Henriette</t>
  </si>
  <si>
    <t>305992012510</t>
  </si>
  <si>
    <t>Sac à dos</t>
  </si>
  <si>
    <t>MO réparation kiosque</t>
  </si>
  <si>
    <t>Total EHAFNVSKJ</t>
  </si>
  <si>
    <t>EHATANSKJ</t>
  </si>
  <si>
    <t>RANDRIAMIARINTSOA Tantely Louis Dinat</t>
  </si>
  <si>
    <t>103431003356</t>
  </si>
  <si>
    <t>Antananarivo</t>
  </si>
  <si>
    <t>Entretien moto</t>
  </si>
  <si>
    <t>FANIRY Mickael</t>
  </si>
  <si>
    <t>101241177491</t>
  </si>
  <si>
    <t>Drap imprimé</t>
  </si>
  <si>
    <t>ANDRIATSIVOLO Volatiana</t>
  </si>
  <si>
    <t>101232103565</t>
  </si>
  <si>
    <t>Ampasampito</t>
  </si>
  <si>
    <t>Planche 4m</t>
  </si>
  <si>
    <t>RABODOSEHENOMALALA Florine</t>
  </si>
  <si>
    <t>106292000413</t>
  </si>
  <si>
    <t>Ambohimanatrika</t>
  </si>
  <si>
    <t>Nettoyage BF1</t>
  </si>
  <si>
    <t>RALIZAMANANA Bernadette</t>
  </si>
  <si>
    <t>106522018694</t>
  </si>
  <si>
    <t>Nettoyage BF2</t>
  </si>
  <si>
    <t>RASOARIMALALA Nirina</t>
  </si>
  <si>
    <t>106522008405</t>
  </si>
  <si>
    <t>Nettoyage BF3</t>
  </si>
  <si>
    <t>RAMAROLAHATRA David</t>
  </si>
  <si>
    <t>101251107512</t>
  </si>
  <si>
    <t>Nettoyage BF4</t>
  </si>
  <si>
    <t>RAMAVONINDRIANA Bakoliarimanana</t>
  </si>
  <si>
    <t>106522008511</t>
  </si>
  <si>
    <t>Nettoyage BF6</t>
  </si>
  <si>
    <t>RAZAFINDRASOA Hantanirina</t>
  </si>
  <si>
    <t>106522009813</t>
  </si>
  <si>
    <t>Ambohimanarivo</t>
  </si>
  <si>
    <t>RAHARINTSALAMA Solonirina H</t>
  </si>
  <si>
    <t>314012016551</t>
  </si>
  <si>
    <t>Rangaina</t>
  </si>
  <si>
    <t>RINDRAHARIMANANA Dina Vatosoa</t>
  </si>
  <si>
    <t>106522013066</t>
  </si>
  <si>
    <t>RAMILIARISOA Soloherinarindra</t>
  </si>
  <si>
    <t>106522013882</t>
  </si>
  <si>
    <t>Nettoyage BF5</t>
  </si>
  <si>
    <t>RATOANDROARILALA Nirina Rova</t>
  </si>
  <si>
    <t>106522014946</t>
  </si>
  <si>
    <t>RASOANANDRASANA Fanomezantsoa</t>
  </si>
  <si>
    <t>106522010722</t>
  </si>
  <si>
    <t>Ankazondandy</t>
  </si>
  <si>
    <t>Nettoyage bureau</t>
  </si>
  <si>
    <t>RABARISOA Tahiana Heritsoa</t>
  </si>
  <si>
    <t>106521009740</t>
  </si>
  <si>
    <t>Crédit téléphone</t>
  </si>
  <si>
    <t>RANDRIANANTENAINA Tiana Tahiry</t>
  </si>
  <si>
    <t>101221118657</t>
  </si>
  <si>
    <t>Tsaralalàna</t>
  </si>
  <si>
    <t>Frais de transport velo</t>
  </si>
  <si>
    <t>RAHELIARIMANANA Fabienne</t>
  </si>
  <si>
    <t>106292002292</t>
  </si>
  <si>
    <t>Credit télephone</t>
  </si>
  <si>
    <t>Credit internet</t>
  </si>
  <si>
    <t>RAZAFIMANANTENA Lahatriniaina</t>
  </si>
  <si>
    <t>103431003221</t>
  </si>
  <si>
    <t>Avaratsena</t>
  </si>
  <si>
    <t>Gravillon (bidon)</t>
  </si>
  <si>
    <t>Sable (bidon)</t>
  </si>
  <si>
    <t>RAKOTORAHALAHY Jean de Dieu</t>
  </si>
  <si>
    <t>103335002431</t>
  </si>
  <si>
    <t>Frais de transport matériaux</t>
  </si>
  <si>
    <t>RALISOA Iarinosy</t>
  </si>
  <si>
    <t>106442014375</t>
  </si>
  <si>
    <t>Nettoyage bureau trimestrielle</t>
  </si>
  <si>
    <t>TAFITASOA Jean Eustache</t>
  </si>
  <si>
    <t>103411003819</t>
  </si>
  <si>
    <t>Analamahitsy</t>
  </si>
  <si>
    <t>Angady</t>
  </si>
  <si>
    <t>Coupe-coupe</t>
  </si>
  <si>
    <t>RAZAFIMANANTSOA Aimé Gerard</t>
  </si>
  <si>
    <t>117121007290</t>
  </si>
  <si>
    <t>RARIVOSOA Narovanjanahary</t>
  </si>
  <si>
    <t>106521019040</t>
  </si>
  <si>
    <t>MO Prestation Technicien</t>
  </si>
  <si>
    <t>RANDRIAMIARINTSOA Onja</t>
  </si>
  <si>
    <t>103431002360</t>
  </si>
  <si>
    <t>MAMONJISOA Heriniaina André</t>
  </si>
  <si>
    <t>Ampanotokana</t>
  </si>
  <si>
    <t>MO Prestation Techicien</t>
  </si>
  <si>
    <t>RAFARALAHINIRINA Hery</t>
  </si>
  <si>
    <t>117021010169</t>
  </si>
  <si>
    <t>Main d'oevre pour montage étagère</t>
  </si>
  <si>
    <t>Main d'oevre pour installation d'un support de rideau</t>
  </si>
  <si>
    <t>RAFENOFANANTENANA Arnicka</t>
  </si>
  <si>
    <t>106521018091</t>
  </si>
  <si>
    <t>Frais de livraison boite compteur</t>
  </si>
  <si>
    <t>RAKOTOARIMANANA Vonjiniaina</t>
  </si>
  <si>
    <t>101251229821</t>
  </si>
  <si>
    <t>RABENJAMINA Heriniaina</t>
  </si>
  <si>
    <t>103132015533</t>
  </si>
  <si>
    <t>Main d'œuvre entretien moto</t>
  </si>
  <si>
    <t>RANDRIANASOLO Mamitiana Tana</t>
  </si>
  <si>
    <t>Cadenas vita gasy</t>
  </si>
  <si>
    <t>Total EHATANSKJ</t>
  </si>
  <si>
    <t>EHAVAVSKJ</t>
  </si>
  <si>
    <t>RAHERIMANANA Constant</t>
  </si>
  <si>
    <t>315011033103</t>
  </si>
  <si>
    <t>Transport</t>
  </si>
  <si>
    <t>VAZATO Prisque Tuc tuc</t>
  </si>
  <si>
    <t>315011019437</t>
  </si>
  <si>
    <t>Fortuna Angelo tuc tuc</t>
  </si>
  <si>
    <t>310011016134</t>
  </si>
  <si>
    <t>Transport outil PMH</t>
  </si>
  <si>
    <t>RENE</t>
  </si>
  <si>
    <t>315011014867</t>
  </si>
  <si>
    <t>MO peinture boîte métallique</t>
  </si>
  <si>
    <t>RAKOTOVELO NUEL Didier Justin</t>
  </si>
  <si>
    <t>305112002086</t>
  </si>
  <si>
    <t>MO entretien moto</t>
  </si>
  <si>
    <t>SAMORA Julien</t>
  </si>
  <si>
    <t>315111008242</t>
  </si>
  <si>
    <t>Ambatoharanana Mandiamanga</t>
  </si>
  <si>
    <t>Nettoyage AH et Décapage</t>
  </si>
  <si>
    <t>RASOLOFONIRINA Chrysanthe</t>
  </si>
  <si>
    <t>315111008658</t>
  </si>
  <si>
    <t>Vohibinany</t>
  </si>
  <si>
    <t>MO renouvellement clôture BF3</t>
  </si>
  <si>
    <t>RAJAONARIVELO Hédophin</t>
  </si>
  <si>
    <t>315111012395</t>
  </si>
  <si>
    <t>bidon</t>
  </si>
  <si>
    <t>RAZARY Jeannette Claronie</t>
  </si>
  <si>
    <t>315112013740</t>
  </si>
  <si>
    <t>Anamborano</t>
  </si>
  <si>
    <t>Gravillon et Sable</t>
  </si>
  <si>
    <t>MO renouvellement couvercle citerne</t>
  </si>
  <si>
    <t>NICO Flavien</t>
  </si>
  <si>
    <t>315091019794</t>
  </si>
  <si>
    <t>Antsiradava</t>
  </si>
  <si>
    <t>JAMES Justolin</t>
  </si>
  <si>
    <t>315011037900</t>
  </si>
  <si>
    <t>Ambatoharanana PMH 1</t>
  </si>
  <si>
    <t>RASAMY Vohibaribe</t>
  </si>
  <si>
    <t>315011012195</t>
  </si>
  <si>
    <t>Vohibaribe</t>
  </si>
  <si>
    <t>MO renouvellement clôture BF2</t>
  </si>
  <si>
    <t>RAZANAJAFY Edmo</t>
  </si>
  <si>
    <t>315011210884</t>
  </si>
  <si>
    <t>Andratambe Tanamarina</t>
  </si>
  <si>
    <t>RANDRIANARISON Alfred Romer</t>
  </si>
  <si>
    <t>301091000789</t>
  </si>
  <si>
    <t>MO réparation boîte métallique</t>
  </si>
  <si>
    <t>MO retouche peinture plaque Soakoja</t>
  </si>
  <si>
    <t>JIMMY TANTELINIRINA Tina</t>
  </si>
  <si>
    <t>315011010403</t>
  </si>
  <si>
    <t>MO réparation la scie gardien</t>
  </si>
  <si>
    <t>RAKOTOARIMANGA Jean de Dieu</t>
  </si>
  <si>
    <t>106461010709</t>
  </si>
  <si>
    <t>Frais colis essence et matériaux de FNR</t>
  </si>
  <si>
    <t>MAX chauffeur</t>
  </si>
  <si>
    <t>Envoi colis à FNR</t>
  </si>
  <si>
    <t>ANDRY TAXI</t>
  </si>
  <si>
    <t>Envoi colis</t>
  </si>
  <si>
    <t>RATIARISON Felix</t>
  </si>
  <si>
    <t>315091021189</t>
  </si>
  <si>
    <t>Anjahambe</t>
  </si>
  <si>
    <t>Indemnité MI</t>
  </si>
  <si>
    <t>VONDRO Christian</t>
  </si>
  <si>
    <t>315131015871</t>
  </si>
  <si>
    <t>Ambodiampaly</t>
  </si>
  <si>
    <t>MO dépannage moto 0917TBP</t>
  </si>
  <si>
    <t>RANDRIANANTENAINA Elisé Andasibe</t>
  </si>
  <si>
    <t>315111012543</t>
  </si>
  <si>
    <t>Andasibe</t>
  </si>
  <si>
    <t>OLIVIER Patrick</t>
  </si>
  <si>
    <t>315011037989</t>
  </si>
  <si>
    <t>Transport outils PMH</t>
  </si>
  <si>
    <t>MO changement kit chaîne et ferrodo</t>
  </si>
  <si>
    <t>RASENDRA Soreldah</t>
  </si>
  <si>
    <t>315091024987</t>
  </si>
  <si>
    <t>Anivorano</t>
  </si>
  <si>
    <t>Voyage</t>
  </si>
  <si>
    <t>Frais colis essence de FNR</t>
  </si>
  <si>
    <t>Frais colis chq FNG de FNR</t>
  </si>
  <si>
    <t>RIJA chauffeur</t>
  </si>
  <si>
    <t>ROSE Olina Armandine</t>
  </si>
  <si>
    <t>301092037387</t>
  </si>
  <si>
    <t>Loyer</t>
  </si>
  <si>
    <t>GALY Luigi Florentin</t>
  </si>
  <si>
    <t>301051014050</t>
  </si>
  <si>
    <t>MO réparation boîte métallique usé</t>
  </si>
  <si>
    <t>THEOGENE Ambodihasina</t>
  </si>
  <si>
    <t>315011024603</t>
  </si>
  <si>
    <t>MO contournement tuyau trop-plein</t>
  </si>
  <si>
    <t>RAKOTOZAFINIANTA Essinie Jessicah</t>
  </si>
  <si>
    <t>315012030812</t>
  </si>
  <si>
    <t>Frais Mvola</t>
  </si>
  <si>
    <t>Prestation responsable Mvola</t>
  </si>
  <si>
    <t>Francisco Vavatenina</t>
  </si>
  <si>
    <t>315011034639</t>
  </si>
  <si>
    <t>MO remplacement batterie et nettoyage carbu</t>
  </si>
  <si>
    <t>MO reglage chaîne et vidange</t>
  </si>
  <si>
    <t>Prestation MI</t>
  </si>
  <si>
    <t>ZEZE Rakoto</t>
  </si>
  <si>
    <t>315011028229</t>
  </si>
  <si>
    <t>Ambalatenina I</t>
  </si>
  <si>
    <t>TRANS COLIS</t>
  </si>
  <si>
    <t>Toamasina</t>
  </si>
  <si>
    <t>Frais colis de Tve</t>
  </si>
  <si>
    <t>Frais colis de FNR</t>
  </si>
  <si>
    <t>Mme Stéphanie</t>
  </si>
  <si>
    <t>315012017989</t>
  </si>
  <si>
    <t>Indemnté MI</t>
  </si>
  <si>
    <t>MAHAFENA Ludovic</t>
  </si>
  <si>
    <t>305111001731</t>
  </si>
  <si>
    <t>Ambodihazovola</t>
  </si>
  <si>
    <t>Décapage et nettoyage AH</t>
  </si>
  <si>
    <t>Total EHAVAVSKJ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</si>
</sst>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\ _€_-;\-* #,##0.00\ _€_-;_-* &quot;-&quot;??\ _€_-;_-@_-"/>
    <numFmt numFmtId="165" formatCode="_-* #,##0\ _€_-;\-* #,##0\ _€_-;_-* &quot;-&quot;??\ _€_-;_-@_-"/>
    <numFmt numFmtId="166" formatCode="[$-40C]mmmm\-yy;@"/>
    <numFmt numFmtId="170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lgerian"/>
      <family val="5"/>
    </font>
    <font>
      <sz val="8.5"/>
      <color theme="1"/>
      <name val="Arial Rounded MT Bold"/>
      <family val="2"/>
    </font>
    <font>
      <sz val="9"/>
      <color theme="1"/>
      <name val="Arial"/>
      <family val="2"/>
    </font>
    <font>
      <u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theme="6" tint="0.39994506668294322"/>
      </left>
      <right/>
      <top style="thin">
        <color theme="6" tint="0.39994506668294322"/>
      </top>
      <bottom/>
      <diagonal/>
    </border>
    <border>
      <left/>
      <right/>
      <top style="thin">
        <color theme="6" tint="0.39994506668294322"/>
      </top>
      <bottom/>
      <diagonal/>
    </border>
    <border>
      <left/>
      <right style="thin">
        <color theme="6" tint="0.39994506668294322"/>
      </right>
      <top style="thin">
        <color theme="6" tint="0.39994506668294322"/>
      </top>
      <bottom/>
      <diagonal/>
    </border>
    <border>
      <left style="thin">
        <color theme="6" tint="0.39994506668294322"/>
      </left>
      <right/>
      <top/>
      <bottom/>
      <diagonal/>
    </border>
    <border>
      <left/>
      <right style="thin">
        <color theme="6" tint="0.39994506668294322"/>
      </right>
      <top/>
      <bottom/>
      <diagonal/>
    </border>
    <border>
      <left style="thin">
        <color theme="6" tint="0.39994506668294322"/>
      </left>
      <right/>
      <top/>
      <bottom style="thin">
        <color theme="6" tint="0.39994506668294322"/>
      </bottom>
      <diagonal/>
    </border>
    <border>
      <left/>
      <right/>
      <top/>
      <bottom style="thin">
        <color theme="6" tint="0.39994506668294322"/>
      </bottom>
      <diagonal/>
    </border>
    <border>
      <left/>
      <right style="thin">
        <color theme="6" tint="0.39994506668294322"/>
      </right>
      <top/>
      <bottom style="thin">
        <color theme="6" tint="0.39994506668294322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slantDashDot">
        <color indexed="64"/>
      </left>
      <right/>
      <top style="thin">
        <color indexed="64"/>
      </top>
      <bottom/>
      <diagonal/>
    </border>
    <border>
      <left/>
      <right style="slantDashDot">
        <color indexed="64"/>
      </right>
      <top style="thin">
        <color indexed="64"/>
      </top>
      <bottom/>
      <diagonal/>
    </border>
    <border>
      <left style="slantDashDot">
        <color indexed="64"/>
      </left>
      <right/>
      <top/>
      <bottom/>
      <diagonal/>
    </border>
    <border>
      <left/>
      <right style="slantDashDot">
        <color indexed="64"/>
      </right>
      <top/>
      <bottom/>
      <diagonal/>
    </border>
    <border>
      <left style="slantDashDot">
        <color indexed="64"/>
      </left>
      <right/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slantDashDot">
        <color indexed="64"/>
      </right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9" fillId="0" borderId="0"/>
    <xf numFmtId="0" fontId="11" fillId="0" borderId="0"/>
  </cellStyleXfs>
  <cellXfs count="73">
    <xf numFmtId="0" fontId="0" fillId="0" borderId="0" xfId="0"/>
    <xf numFmtId="0" fontId="3" fillId="0" borderId="0" xfId="2" applyFont="1" applyAlignment="1">
      <alignment horizontal="center"/>
    </xf>
    <xf numFmtId="0" fontId="1" fillId="0" borderId="0" xfId="2"/>
    <xf numFmtId="0" fontId="4" fillId="0" borderId="0" xfId="2" applyFont="1" applyAlignment="1">
      <alignment horizontal="center"/>
    </xf>
    <xf numFmtId="0" fontId="4" fillId="0" borderId="0" xfId="2" applyFont="1" applyAlignment="1">
      <alignment horizontal="center"/>
    </xf>
    <xf numFmtId="0" fontId="5" fillId="0" borderId="1" xfId="2" applyFont="1" applyBorder="1" applyAlignment="1">
      <alignment horizontal="center"/>
    </xf>
    <xf numFmtId="0" fontId="5" fillId="0" borderId="2" xfId="2" applyFont="1" applyBorder="1" applyAlignment="1">
      <alignment horizontal="center"/>
    </xf>
    <xf numFmtId="0" fontId="1" fillId="0" borderId="2" xfId="2" applyBorder="1"/>
    <xf numFmtId="0" fontId="1" fillId="0" borderId="3" xfId="2" applyBorder="1"/>
    <xf numFmtId="0" fontId="5" fillId="0" borderId="4" xfId="2" applyFont="1" applyBorder="1" applyAlignment="1">
      <alignment horizontal="center"/>
    </xf>
    <xf numFmtId="0" fontId="5" fillId="0" borderId="0" xfId="2" applyFont="1" applyAlignment="1">
      <alignment horizontal="center"/>
    </xf>
    <xf numFmtId="0" fontId="1" fillId="0" borderId="5" xfId="2" applyBorder="1"/>
    <xf numFmtId="0" fontId="1" fillId="0" borderId="4" xfId="2" applyBorder="1"/>
    <xf numFmtId="0" fontId="6" fillId="0" borderId="4" xfId="2" applyFont="1" applyBorder="1"/>
    <xf numFmtId="0" fontId="7" fillId="0" borderId="4" xfId="2" applyFont="1" applyBorder="1"/>
    <xf numFmtId="0" fontId="5" fillId="0" borderId="4" xfId="2" applyFont="1" applyBorder="1"/>
    <xf numFmtId="3" fontId="1" fillId="0" borderId="0" xfId="2" applyNumberFormat="1"/>
    <xf numFmtId="0" fontId="7" fillId="0" borderId="6" xfId="2" applyFont="1" applyBorder="1"/>
    <xf numFmtId="0" fontId="1" fillId="0" borderId="7" xfId="2" applyBorder="1"/>
    <xf numFmtId="17" fontId="1" fillId="0" borderId="7" xfId="2" applyNumberFormat="1" applyBorder="1"/>
    <xf numFmtId="0" fontId="1" fillId="0" borderId="8" xfId="2" applyBorder="1"/>
    <xf numFmtId="0" fontId="1" fillId="0" borderId="9" xfId="2" quotePrefix="1" applyBorder="1"/>
    <xf numFmtId="165" fontId="0" fillId="0" borderId="9" xfId="3" applyNumberFormat="1" applyFont="1" applyBorder="1"/>
    <xf numFmtId="0" fontId="1" fillId="0" borderId="9" xfId="2" applyBorder="1"/>
    <xf numFmtId="0" fontId="1" fillId="0" borderId="10" xfId="2" quotePrefix="1" applyBorder="1"/>
    <xf numFmtId="9" fontId="1" fillId="0" borderId="10" xfId="2" applyNumberFormat="1" applyBorder="1"/>
    <xf numFmtId="0" fontId="1" fillId="0" borderId="10" xfId="2" applyBorder="1"/>
    <xf numFmtId="165" fontId="0" fillId="0" borderId="10" xfId="3" applyNumberFormat="1" applyFont="1" applyBorder="1"/>
    <xf numFmtId="0" fontId="1" fillId="0" borderId="11" xfId="2" applyBorder="1"/>
    <xf numFmtId="0" fontId="1" fillId="0" borderId="12" xfId="2" applyBorder="1"/>
    <xf numFmtId="0" fontId="1" fillId="0" borderId="13" xfId="2" applyBorder="1"/>
    <xf numFmtId="0" fontId="1" fillId="0" borderId="14" xfId="2" applyBorder="1"/>
    <xf numFmtId="0" fontId="1" fillId="0" borderId="15" xfId="2" applyBorder="1"/>
    <xf numFmtId="0" fontId="1" fillId="0" borderId="16" xfId="2" applyBorder="1"/>
    <xf numFmtId="0" fontId="1" fillId="0" borderId="17" xfId="2" applyBorder="1"/>
    <xf numFmtId="0" fontId="1" fillId="0" borderId="18" xfId="2" applyBorder="1"/>
    <xf numFmtId="0" fontId="1" fillId="0" borderId="19" xfId="2" applyBorder="1"/>
    <xf numFmtId="0" fontId="1" fillId="0" borderId="20" xfId="2" applyBorder="1"/>
    <xf numFmtId="0" fontId="1" fillId="0" borderId="21" xfId="2" applyBorder="1"/>
    <xf numFmtId="0" fontId="1" fillId="0" borderId="22" xfId="2" applyBorder="1"/>
    <xf numFmtId="0" fontId="1" fillId="0" borderId="23" xfId="2" applyBorder="1"/>
    <xf numFmtId="0" fontId="1" fillId="0" borderId="24" xfId="2" applyBorder="1"/>
    <xf numFmtId="0" fontId="1" fillId="0" borderId="25" xfId="2" applyBorder="1"/>
    <xf numFmtId="0" fontId="6" fillId="0" borderId="0" xfId="2" applyFont="1"/>
    <xf numFmtId="0" fontId="8" fillId="0" borderId="0" xfId="2" applyFont="1"/>
    <xf numFmtId="0" fontId="2" fillId="0" borderId="0" xfId="2" applyFont="1" applyAlignment="1">
      <alignment horizontal="center"/>
    </xf>
    <xf numFmtId="0" fontId="9" fillId="0" borderId="0" xfId="4"/>
    <xf numFmtId="0" fontId="2" fillId="0" borderId="0" xfId="2" applyFont="1" applyAlignment="1">
      <alignment horizontal="center"/>
    </xf>
    <xf numFmtId="0" fontId="10" fillId="0" borderId="0" xfId="2" applyFont="1"/>
    <xf numFmtId="3" fontId="11" fillId="0" borderId="0" xfId="5" applyNumberFormat="1" applyAlignment="1">
      <alignment horizontal="left"/>
    </xf>
    <xf numFmtId="0" fontId="1" fillId="0" borderId="0" xfId="2" applyAlignment="1">
      <alignment horizontal="left"/>
    </xf>
    <xf numFmtId="17" fontId="1" fillId="0" borderId="0" xfId="2" applyNumberFormat="1"/>
    <xf numFmtId="166" fontId="1" fillId="0" borderId="0" xfId="2" applyNumberFormat="1" applyAlignment="1">
      <alignment horizontal="left"/>
    </xf>
    <xf numFmtId="0" fontId="2" fillId="0" borderId="26" xfId="2" applyFont="1" applyBorder="1" applyAlignment="1">
      <alignment horizontal="center" vertical="top"/>
    </xf>
    <xf numFmtId="0" fontId="2" fillId="0" borderId="26" xfId="2" applyFont="1" applyBorder="1" applyAlignment="1">
      <alignment vertical="top"/>
    </xf>
    <xf numFmtId="0" fontId="2" fillId="0" borderId="26" xfId="2" applyFont="1" applyBorder="1" applyAlignment="1">
      <alignment horizontal="center" vertical="top" wrapText="1"/>
    </xf>
    <xf numFmtId="0" fontId="2" fillId="0" borderId="26" xfId="2" applyFont="1" applyBorder="1" applyAlignment="1">
      <alignment horizontal="center" vertical="center"/>
    </xf>
    <xf numFmtId="0" fontId="9" fillId="0" borderId="26" xfId="4" applyBorder="1"/>
    <xf numFmtId="0" fontId="9" fillId="2" borderId="0" xfId="4" applyFill="1"/>
    <xf numFmtId="0" fontId="2" fillId="0" borderId="27" xfId="2" applyFont="1" applyBorder="1" applyAlignment="1">
      <alignment horizontal="center" vertical="top"/>
    </xf>
    <xf numFmtId="0" fontId="2" fillId="0" borderId="27" xfId="2" applyFont="1" applyBorder="1" applyAlignment="1">
      <alignment horizontal="center" vertical="top" wrapText="1"/>
    </xf>
    <xf numFmtId="0" fontId="2" fillId="0" borderId="27" xfId="2" applyFont="1" applyBorder="1" applyAlignment="1">
      <alignment horizontal="center" vertical="top"/>
    </xf>
    <xf numFmtId="0" fontId="2" fillId="0" borderId="27" xfId="2" applyFont="1" applyBorder="1" applyAlignment="1">
      <alignment horizontal="center" vertical="center"/>
    </xf>
    <xf numFmtId="14" fontId="9" fillId="0" borderId="26" xfId="4" applyNumberFormat="1" applyBorder="1"/>
    <xf numFmtId="0" fontId="12" fillId="0" borderId="26" xfId="4" applyFont="1" applyBorder="1"/>
    <xf numFmtId="14" fontId="12" fillId="0" borderId="26" xfId="4" applyNumberFormat="1" applyFont="1" applyBorder="1"/>
    <xf numFmtId="170" fontId="9" fillId="0" borderId="26" xfId="1" applyNumberFormat="1" applyFont="1" applyBorder="1"/>
    <xf numFmtId="170" fontId="12" fillId="0" borderId="26" xfId="1" applyNumberFormat="1" applyFont="1" applyBorder="1"/>
    <xf numFmtId="0" fontId="2" fillId="0" borderId="28" xfId="2" applyFont="1" applyBorder="1" applyAlignment="1">
      <alignment horizontal="center" vertical="top"/>
    </xf>
    <xf numFmtId="0" fontId="2" fillId="0" borderId="29" xfId="2" applyFont="1" applyBorder="1" applyAlignment="1">
      <alignment horizontal="center" vertical="top"/>
    </xf>
    <xf numFmtId="0" fontId="9" fillId="0" borderId="26" xfId="4" applyFill="1" applyBorder="1"/>
    <xf numFmtId="14" fontId="9" fillId="0" borderId="26" xfId="4" applyNumberFormat="1" applyFill="1" applyBorder="1"/>
    <xf numFmtId="170" fontId="9" fillId="0" borderId="26" xfId="1" applyNumberFormat="1" applyFont="1" applyFill="1" applyBorder="1"/>
  </cellXfs>
  <cellStyles count="6">
    <cellStyle name="Milliers" xfId="1" builtinId="3"/>
    <cellStyle name="Milliers 4" xfId="3" xr:uid="{D7D15EE8-15AC-47CB-B5BD-0DD18D00A724}"/>
    <cellStyle name="Normal" xfId="0" builtinId="0"/>
    <cellStyle name="Normal 2" xfId="4" xr:uid="{288F84F6-D02D-492F-B260-82739003EBD8}"/>
    <cellStyle name="Normal 2 2" xfId="5" xr:uid="{70BD0354-86EF-4E2F-9ED6-6B051EB9E025}"/>
    <cellStyle name="Normal 4" xfId="2" xr:uid="{666604FE-E102-45EC-B8B0-D9A1F7E0548D}"/>
  </cellStyles>
  <dxfs count="921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607219</xdr:colOff>
      <xdr:row>3</xdr:row>
      <xdr:rowOff>95250</xdr:rowOff>
    </xdr:from>
    <xdr:to>
      <xdr:col>9</xdr:col>
      <xdr:colOff>715183</xdr:colOff>
      <xdr:row>9</xdr:row>
      <xdr:rowOff>23813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60DA360-49F0-4178-B64E-5F9700522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3269" y="676275"/>
          <a:ext cx="946164" cy="10715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12433</xdr:colOff>
      <xdr:row>9</xdr:row>
      <xdr:rowOff>64585</xdr:rowOff>
    </xdr:from>
    <xdr:ext cx="2629438" cy="71853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D8FEAAD-D6FC-4B6D-9D2F-068E382985D3}"/>
            </a:ext>
          </a:extLst>
        </xdr:cNvPr>
        <xdr:cNvSpPr/>
      </xdr:nvSpPr>
      <xdr:spPr>
        <a:xfrm>
          <a:off x="2650858" y="1788610"/>
          <a:ext cx="2629438" cy="71853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20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Impôts sur les Revenus</a:t>
          </a:r>
        </a:p>
        <a:p>
          <a:pPr algn="ctr"/>
          <a:r>
            <a:rPr lang="fr-FR" sz="20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INTERMITTENT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ropbox\Admin%20et%20logistique\Fiche%20d&#233;claration%20IRI.xlsm" TargetMode="External"/><Relationship Id="rId1" Type="http://schemas.openxmlformats.org/officeDocument/2006/relationships/externalLinkPath" Target="/Dropbox/Admin%20et%20logistique/Fiche%20d&#233;claration%20IRI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éclaration IRI"/>
      <sheetName val="Annexe IRI"/>
      <sheetName val="IRI vs compta"/>
      <sheetName val="DATABankRec"/>
    </sheetNames>
    <sheetDataSet>
      <sheetData sheetId="0"/>
      <sheetData sheetId="1">
        <row r="4">
          <cell r="E4" t="str">
            <v>SOAKOJA</v>
          </cell>
        </row>
        <row r="5">
          <cell r="E5">
            <v>3003101957</v>
          </cell>
        </row>
        <row r="6">
          <cell r="E6" t="str">
            <v>Bemasoandro Vavatenina</v>
          </cell>
        </row>
        <row r="7">
          <cell r="E7">
            <v>45931</v>
          </cell>
        </row>
        <row r="12">
          <cell r="A12" t="str">
            <v>Étiquettes de lignes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599D2-B197-4CAD-AECB-2A2E0179ECED}">
  <sheetPr codeName="Feuil27"/>
  <dimension ref="B1:J50"/>
  <sheetViews>
    <sheetView view="pageBreakPreview" topLeftCell="A21" zoomScale="75" zoomScaleNormal="80" zoomScaleSheetLayoutView="75" workbookViewId="0">
      <selection activeCell="E27" sqref="E27"/>
    </sheetView>
  </sheetViews>
  <sheetFormatPr baseColWidth="10" defaultRowHeight="15" x14ac:dyDescent="0.25"/>
  <cols>
    <col min="1" max="1" width="1.85546875" style="2" customWidth="1"/>
    <col min="2" max="4" width="11.42578125" style="2"/>
    <col min="5" max="5" width="13.5703125" style="2" customWidth="1"/>
    <col min="6" max="6" width="11.42578125" style="2"/>
    <col min="7" max="7" width="19.140625" style="2" customWidth="1"/>
    <col min="8" max="16384" width="11.42578125" style="2"/>
  </cols>
  <sheetData>
    <row r="1" spans="2:10" ht="15.75" x14ac:dyDescent="0.25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x14ac:dyDescent="0.25">
      <c r="B3" s="4"/>
      <c r="C3" s="4"/>
      <c r="D3" s="4"/>
      <c r="E3" s="4"/>
      <c r="F3" s="4"/>
      <c r="G3" s="4"/>
      <c r="H3" s="4"/>
      <c r="I3" s="4"/>
      <c r="J3" s="4"/>
    </row>
    <row r="4" spans="2:10" x14ac:dyDescent="0.25">
      <c r="B4" s="5" t="s">
        <v>2</v>
      </c>
      <c r="C4" s="6"/>
      <c r="D4" s="6"/>
      <c r="E4" s="7"/>
      <c r="F4" s="7"/>
      <c r="G4" s="7"/>
      <c r="H4" s="7"/>
      <c r="I4" s="7"/>
      <c r="J4" s="8"/>
    </row>
    <row r="5" spans="2:10" x14ac:dyDescent="0.25">
      <c r="B5" s="9" t="s">
        <v>3</v>
      </c>
      <c r="C5" s="10"/>
      <c r="D5" s="10"/>
      <c r="J5" s="11"/>
    </row>
    <row r="6" spans="2:10" x14ac:dyDescent="0.25">
      <c r="B6" s="9" t="s">
        <v>4</v>
      </c>
      <c r="C6" s="10"/>
      <c r="D6" s="10"/>
      <c r="J6" s="11"/>
    </row>
    <row r="7" spans="2:10" x14ac:dyDescent="0.25">
      <c r="B7" s="9" t="s">
        <v>5</v>
      </c>
      <c r="C7" s="10"/>
      <c r="D7" s="10"/>
      <c r="J7" s="11"/>
    </row>
    <row r="8" spans="2:10" x14ac:dyDescent="0.25">
      <c r="B8" s="9" t="s">
        <v>4</v>
      </c>
      <c r="C8" s="10"/>
      <c r="D8" s="10"/>
      <c r="J8" s="11"/>
    </row>
    <row r="9" spans="2:10" x14ac:dyDescent="0.25">
      <c r="B9" s="9" t="s">
        <v>6</v>
      </c>
      <c r="C9" s="10"/>
      <c r="D9" s="10"/>
      <c r="J9" s="11"/>
    </row>
    <row r="10" spans="2:10" x14ac:dyDescent="0.25">
      <c r="B10" s="9" t="s">
        <v>4</v>
      </c>
      <c r="C10" s="10"/>
      <c r="D10" s="10"/>
      <c r="J10" s="11"/>
    </row>
    <row r="11" spans="2:10" x14ac:dyDescent="0.25">
      <c r="B11" s="12"/>
      <c r="J11" s="11"/>
    </row>
    <row r="12" spans="2:10" x14ac:dyDescent="0.25">
      <c r="B12" s="12"/>
      <c r="J12" s="11"/>
    </row>
    <row r="13" spans="2:10" x14ac:dyDescent="0.25">
      <c r="B13" s="12"/>
      <c r="J13" s="11"/>
    </row>
    <row r="14" spans="2:10" x14ac:dyDescent="0.25">
      <c r="B14" s="12"/>
      <c r="J14" s="11"/>
    </row>
    <row r="15" spans="2:10" x14ac:dyDescent="0.25">
      <c r="B15" s="13" t="s">
        <v>7</v>
      </c>
      <c r="J15" s="11"/>
    </row>
    <row r="16" spans="2:10" x14ac:dyDescent="0.25">
      <c r="B16" s="12"/>
      <c r="J16" s="11"/>
    </row>
    <row r="17" spans="2:10" x14ac:dyDescent="0.25">
      <c r="B17" s="14" t="s">
        <v>8</v>
      </c>
      <c r="J17" s="11"/>
    </row>
    <row r="18" spans="2:10" x14ac:dyDescent="0.25">
      <c r="B18" s="15" t="s">
        <v>9</v>
      </c>
      <c r="J18" s="11"/>
    </row>
    <row r="19" spans="2:10" x14ac:dyDescent="0.25">
      <c r="B19" s="14" t="s">
        <v>10</v>
      </c>
      <c r="E19" s="2" t="str">
        <f>'[1]Annexe IRI'!E4</f>
        <v>SOAKOJA</v>
      </c>
      <c r="J19" s="11"/>
    </row>
    <row r="20" spans="2:10" x14ac:dyDescent="0.25">
      <c r="B20" s="14"/>
      <c r="J20" s="11"/>
    </row>
    <row r="21" spans="2:10" x14ac:dyDescent="0.25">
      <c r="B21" s="14" t="s">
        <v>11</v>
      </c>
      <c r="J21" s="11"/>
    </row>
    <row r="22" spans="2:10" x14ac:dyDescent="0.25">
      <c r="B22" s="15" t="s">
        <v>9</v>
      </c>
      <c r="J22" s="11"/>
    </row>
    <row r="23" spans="2:10" x14ac:dyDescent="0.25">
      <c r="B23" s="14" t="s">
        <v>12</v>
      </c>
      <c r="E23" s="2" t="str">
        <f>'[1]Annexe IRI'!E6</f>
        <v>Bemasoandro Vavatenina</v>
      </c>
      <c r="J23" s="11"/>
    </row>
    <row r="24" spans="2:10" x14ac:dyDescent="0.25">
      <c r="B24" s="14"/>
      <c r="J24" s="11"/>
    </row>
    <row r="25" spans="2:10" x14ac:dyDescent="0.25">
      <c r="B25" s="14" t="s">
        <v>13</v>
      </c>
      <c r="E25" s="16">
        <f>'[1]Annexe IRI'!E5</f>
        <v>3003101957</v>
      </c>
      <c r="J25" s="11"/>
    </row>
    <row r="26" spans="2:10" x14ac:dyDescent="0.25">
      <c r="B26" s="14"/>
      <c r="J26" s="11"/>
    </row>
    <row r="27" spans="2:10" x14ac:dyDescent="0.25">
      <c r="B27" s="17" t="s">
        <v>14</v>
      </c>
      <c r="C27" s="18"/>
      <c r="D27" s="18"/>
      <c r="E27" s="19">
        <f>'[1]Annexe IRI'!E7</f>
        <v>45931</v>
      </c>
      <c r="F27" s="18"/>
      <c r="G27" s="18"/>
      <c r="H27" s="18"/>
      <c r="I27" s="18"/>
      <c r="J27" s="20"/>
    </row>
    <row r="29" spans="2:10" x14ac:dyDescent="0.25">
      <c r="B29" s="2" t="s">
        <v>15</v>
      </c>
    </row>
    <row r="31" spans="2:10" x14ac:dyDescent="0.25">
      <c r="B31" s="2" t="s">
        <v>16</v>
      </c>
      <c r="F31" s="21" t="s">
        <v>17</v>
      </c>
      <c r="G31" s="22">
        <f>GETPIVOTDATA("[Measures].[Montant]",'[1]Annexe IRI'!$A$12)</f>
        <v>15785200</v>
      </c>
      <c r="H31" s="23"/>
    </row>
    <row r="32" spans="2:10" x14ac:dyDescent="0.25">
      <c r="B32" s="2" t="s">
        <v>18</v>
      </c>
      <c r="F32" s="24" t="s">
        <v>19</v>
      </c>
      <c r="G32" s="25">
        <v>0.05</v>
      </c>
      <c r="H32" s="26"/>
    </row>
    <row r="33" spans="2:10" x14ac:dyDescent="0.25">
      <c r="B33" s="2" t="s">
        <v>20</v>
      </c>
      <c r="F33" s="24" t="s">
        <v>21</v>
      </c>
      <c r="G33" s="27">
        <f>G31*G32</f>
        <v>789260</v>
      </c>
      <c r="H33" s="26"/>
    </row>
    <row r="37" spans="2:10" ht="30.75" customHeight="1" x14ac:dyDescent="0.25">
      <c r="B37" s="28" t="s">
        <v>22</v>
      </c>
      <c r="C37" s="29"/>
      <c r="D37" s="29"/>
      <c r="E37" s="29"/>
      <c r="F37" s="29"/>
      <c r="G37" s="29"/>
      <c r="H37" s="29"/>
      <c r="I37" s="29"/>
      <c r="J37" s="30"/>
    </row>
    <row r="38" spans="2:10" ht="43.5" customHeight="1" x14ac:dyDescent="0.25">
      <c r="B38" s="31" t="s">
        <v>23</v>
      </c>
      <c r="J38" s="32"/>
    </row>
    <row r="39" spans="2:10" ht="29.25" customHeight="1" x14ac:dyDescent="0.25">
      <c r="B39" s="31" t="s">
        <v>24</v>
      </c>
      <c r="J39" s="32"/>
    </row>
    <row r="40" spans="2:10" ht="27.75" customHeight="1" x14ac:dyDescent="0.25">
      <c r="B40" s="33"/>
      <c r="C40" s="34"/>
      <c r="D40" s="34"/>
      <c r="E40" s="34"/>
      <c r="F40" s="34"/>
      <c r="G40" s="34"/>
      <c r="H40" s="34"/>
      <c r="I40" s="34"/>
      <c r="J40" s="35"/>
    </row>
    <row r="41" spans="2:10" x14ac:dyDescent="0.25">
      <c r="G41" s="36" t="s">
        <v>25</v>
      </c>
      <c r="H41" s="29"/>
      <c r="I41" s="29"/>
      <c r="J41" s="37"/>
    </row>
    <row r="42" spans="2:10" x14ac:dyDescent="0.25">
      <c r="G42" s="38"/>
      <c r="J42" s="39"/>
    </row>
    <row r="43" spans="2:10" x14ac:dyDescent="0.25">
      <c r="G43" s="38"/>
      <c r="J43" s="39"/>
    </row>
    <row r="44" spans="2:10" x14ac:dyDescent="0.25">
      <c r="G44" s="38"/>
      <c r="J44" s="39"/>
    </row>
    <row r="45" spans="2:10" x14ac:dyDescent="0.25">
      <c r="G45" s="38"/>
      <c r="J45" s="39"/>
    </row>
    <row r="46" spans="2:10" x14ac:dyDescent="0.25">
      <c r="G46" s="38"/>
      <c r="J46" s="39"/>
    </row>
    <row r="47" spans="2:10" ht="15.75" thickBot="1" x14ac:dyDescent="0.3">
      <c r="G47" s="40"/>
      <c r="H47" s="41"/>
      <c r="I47" s="41"/>
      <c r="J47" s="42"/>
    </row>
    <row r="48" spans="2:10" x14ac:dyDescent="0.25">
      <c r="B48" s="43" t="s">
        <v>26</v>
      </c>
    </row>
    <row r="49" spans="2:2" ht="33" customHeight="1" x14ac:dyDescent="0.25">
      <c r="B49" s="44" t="s">
        <v>27</v>
      </c>
    </row>
    <row r="50" spans="2:2" ht="33" customHeight="1" x14ac:dyDescent="0.25">
      <c r="B50" s="44" t="s">
        <v>28</v>
      </c>
    </row>
  </sheetData>
  <mergeCells count="9">
    <mergeCell ref="B8:D8"/>
    <mergeCell ref="B9:D9"/>
    <mergeCell ref="B10:D10"/>
    <mergeCell ref="B1:J1"/>
    <mergeCell ref="B2:J2"/>
    <mergeCell ref="B4:D4"/>
    <mergeCell ref="B5:D5"/>
    <mergeCell ref="B6:D6"/>
    <mergeCell ref="B7:D7"/>
  </mergeCells>
  <pageMargins left="0.39" right="0.38" top="0.75" bottom="0.75" header="0.3" footer="0.3"/>
  <pageSetup paperSize="9" scale="82" orientation="portrait" horizontalDpi="4294967293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A0F90-D26C-441A-A092-8CFBB9E08912}">
  <sheetPr codeName="Feuil5"/>
  <dimension ref="A2:J207"/>
  <sheetViews>
    <sheetView tabSelected="1" view="pageBreakPreview" topLeftCell="A86" zoomScale="70" zoomScaleNormal="70" zoomScaleSheetLayoutView="70" workbookViewId="0">
      <selection activeCell="B99" sqref="B99"/>
    </sheetView>
  </sheetViews>
  <sheetFormatPr baseColWidth="10" defaultRowHeight="15.75" x14ac:dyDescent="0.25"/>
  <cols>
    <col min="1" max="1" width="11.42578125" style="46"/>
    <col min="2" max="2" width="38.7109375" style="46" customWidth="1"/>
    <col min="3" max="3" width="16.7109375" style="46" customWidth="1"/>
    <col min="4" max="4" width="35.7109375" style="46" customWidth="1"/>
    <col min="5" max="5" width="12.85546875" style="46" bestFit="1" customWidth="1"/>
    <col min="6" max="6" width="76.7109375" style="46" customWidth="1"/>
    <col min="7" max="7" width="11.42578125" style="46"/>
    <col min="8" max="8" width="13.42578125" style="46" bestFit="1" customWidth="1"/>
    <col min="9" max="9" width="16.28515625" style="46" bestFit="1" customWidth="1"/>
    <col min="10" max="10" width="13.42578125" style="46" bestFit="1" customWidth="1"/>
    <col min="11" max="16384" width="11.42578125" style="46"/>
  </cols>
  <sheetData>
    <row r="2" spans="1:10" s="2" customFormat="1" ht="15" x14ac:dyDescent="0.25">
      <c r="A2" s="45" t="s">
        <v>29</v>
      </c>
      <c r="B2" s="45"/>
      <c r="C2" s="45"/>
      <c r="D2" s="45"/>
      <c r="E2" s="45"/>
      <c r="F2" s="45"/>
      <c r="G2" s="45"/>
      <c r="H2" s="45"/>
      <c r="I2" s="45"/>
    </row>
    <row r="3" spans="1:10" s="2" customFormat="1" ht="15" x14ac:dyDescent="0.25">
      <c r="A3" s="47"/>
      <c r="B3" s="47"/>
      <c r="C3" s="47"/>
      <c r="D3" s="47"/>
      <c r="E3" s="47"/>
      <c r="F3" s="47"/>
      <c r="G3" s="47"/>
      <c r="H3" s="47"/>
      <c r="I3" s="47"/>
    </row>
    <row r="4" spans="1:10" s="2" customFormat="1" ht="15" x14ac:dyDescent="0.25">
      <c r="A4" s="48" t="s">
        <v>30</v>
      </c>
      <c r="E4" s="2" t="s">
        <v>31</v>
      </c>
    </row>
    <row r="5" spans="1:10" s="2" customFormat="1" ht="15" x14ac:dyDescent="0.25">
      <c r="A5" s="48" t="s">
        <v>32</v>
      </c>
      <c r="E5" s="49">
        <v>3003101957</v>
      </c>
    </row>
    <row r="6" spans="1:10" s="2" customFormat="1" ht="15" x14ac:dyDescent="0.25">
      <c r="A6" s="48" t="s">
        <v>33</v>
      </c>
      <c r="E6" s="50" t="s">
        <v>34</v>
      </c>
    </row>
    <row r="7" spans="1:10" s="2" customFormat="1" ht="15" x14ac:dyDescent="0.25">
      <c r="A7" s="48" t="s">
        <v>14</v>
      </c>
      <c r="B7" s="51"/>
      <c r="E7" s="52">
        <f>'Déclaration IRI'!E27</f>
        <v>45931</v>
      </c>
    </row>
    <row r="8" spans="1:10" s="2" customFormat="1" ht="15" x14ac:dyDescent="0.25"/>
    <row r="9" spans="1:10" s="2" customFormat="1" ht="15" x14ac:dyDescent="0.25">
      <c r="B9" s="53" t="s">
        <v>35</v>
      </c>
      <c r="C9" s="53" t="s">
        <v>36</v>
      </c>
      <c r="D9" s="53" t="s">
        <v>37</v>
      </c>
      <c r="E9" s="53" t="s">
        <v>38</v>
      </c>
      <c r="F9" s="53"/>
      <c r="G9" s="53"/>
      <c r="H9" s="53"/>
      <c r="I9" s="53"/>
      <c r="J9" s="54" t="s">
        <v>39</v>
      </c>
    </row>
    <row r="10" spans="1:10" s="2" customFormat="1" ht="15.75" customHeight="1" x14ac:dyDescent="0.25">
      <c r="B10" s="53"/>
      <c r="C10" s="53"/>
      <c r="D10" s="53"/>
      <c r="E10" s="55" t="s">
        <v>40</v>
      </c>
      <c r="F10" s="53" t="s">
        <v>41</v>
      </c>
      <c r="G10" s="68" t="s">
        <v>42</v>
      </c>
      <c r="H10" s="69"/>
      <c r="I10" s="55" t="s">
        <v>43</v>
      </c>
      <c r="J10" s="56" t="s">
        <v>44</v>
      </c>
    </row>
    <row r="11" spans="1:10" s="2" customFormat="1" ht="15" x14ac:dyDescent="0.25">
      <c r="B11" s="59"/>
      <c r="C11" s="59"/>
      <c r="D11" s="59"/>
      <c r="E11" s="60"/>
      <c r="F11" s="59"/>
      <c r="G11" s="61" t="s">
        <v>45</v>
      </c>
      <c r="H11" s="61" t="s">
        <v>46</v>
      </c>
      <c r="I11" s="60"/>
      <c r="J11" s="62"/>
    </row>
    <row r="12" spans="1:10" x14ac:dyDescent="0.25">
      <c r="A12" s="64" t="s">
        <v>47</v>
      </c>
      <c r="B12" s="57"/>
      <c r="C12" s="57"/>
      <c r="D12" s="57"/>
      <c r="E12" s="57"/>
      <c r="F12" s="57"/>
      <c r="G12" s="57"/>
      <c r="H12" s="57"/>
      <c r="I12" s="57"/>
      <c r="J12" s="57"/>
    </row>
    <row r="13" spans="1:10" x14ac:dyDescent="0.25">
      <c r="A13" s="57">
        <v>112</v>
      </c>
      <c r="B13" s="57" t="s">
        <v>48</v>
      </c>
      <c r="C13" s="57" t="s">
        <v>49</v>
      </c>
      <c r="D13" s="57" t="s">
        <v>50</v>
      </c>
      <c r="E13" s="63">
        <v>45937</v>
      </c>
      <c r="F13" s="57" t="s">
        <v>51</v>
      </c>
      <c r="G13" s="57" t="s">
        <v>52</v>
      </c>
      <c r="H13" s="66">
        <v>600000</v>
      </c>
      <c r="I13" s="66">
        <v>1800000</v>
      </c>
      <c r="J13" s="66">
        <f>I13*5%</f>
        <v>90000</v>
      </c>
    </row>
    <row r="14" spans="1:10" x14ac:dyDescent="0.25">
      <c r="A14" s="64" t="s">
        <v>53</v>
      </c>
      <c r="B14" s="64"/>
      <c r="C14" s="64"/>
      <c r="D14" s="64"/>
      <c r="E14" s="65"/>
      <c r="F14" s="64"/>
      <c r="G14" s="64"/>
      <c r="H14" s="67"/>
      <c r="I14" s="67">
        <f>SUBTOTAL(9,I13)</f>
        <v>1800000</v>
      </c>
      <c r="J14" s="67">
        <f>SUBTOTAL(9,J13)</f>
        <v>90000</v>
      </c>
    </row>
    <row r="15" spans="1:10" x14ac:dyDescent="0.25">
      <c r="A15" s="64" t="s">
        <v>54</v>
      </c>
      <c r="B15" s="57"/>
      <c r="C15" s="57"/>
      <c r="D15" s="57"/>
      <c r="E15" s="63"/>
      <c r="F15" s="57"/>
      <c r="G15" s="57"/>
      <c r="H15" s="66"/>
      <c r="I15" s="66"/>
      <c r="J15" s="66"/>
    </row>
    <row r="16" spans="1:10" x14ac:dyDescent="0.25">
      <c r="A16" s="57">
        <v>58</v>
      </c>
      <c r="B16" s="57" t="s">
        <v>55</v>
      </c>
      <c r="C16" s="57"/>
      <c r="D16" s="57" t="s">
        <v>50</v>
      </c>
      <c r="E16" s="63">
        <v>45931</v>
      </c>
      <c r="F16" s="57" t="s">
        <v>57</v>
      </c>
      <c r="G16" s="57" t="s">
        <v>58</v>
      </c>
      <c r="H16" s="66">
        <v>15000</v>
      </c>
      <c r="I16" s="66">
        <v>15000</v>
      </c>
      <c r="J16" s="66">
        <f>I16*5%</f>
        <v>750</v>
      </c>
    </row>
    <row r="17" spans="1:10" x14ac:dyDescent="0.25">
      <c r="A17" s="57">
        <v>63</v>
      </c>
      <c r="B17" s="57" t="s">
        <v>59</v>
      </c>
      <c r="C17" s="57" t="s">
        <v>60</v>
      </c>
      <c r="D17" s="57" t="s">
        <v>61</v>
      </c>
      <c r="E17" s="63">
        <v>45937</v>
      </c>
      <c r="F17" s="57" t="s">
        <v>62</v>
      </c>
      <c r="G17" s="57" t="s">
        <v>63</v>
      </c>
      <c r="H17" s="66">
        <v>45000</v>
      </c>
      <c r="I17" s="66">
        <v>900000</v>
      </c>
      <c r="J17" s="66">
        <f t="shared" ref="J17:J80" si="0">I17*5%</f>
        <v>45000</v>
      </c>
    </row>
    <row r="18" spans="1:10" x14ac:dyDescent="0.25">
      <c r="A18" s="57">
        <v>68</v>
      </c>
      <c r="B18" s="57" t="s">
        <v>64</v>
      </c>
      <c r="C18" s="57"/>
      <c r="D18" s="57" t="s">
        <v>61</v>
      </c>
      <c r="E18" s="63">
        <v>45932</v>
      </c>
      <c r="F18" s="57" t="s">
        <v>65</v>
      </c>
      <c r="G18" s="57" t="s">
        <v>58</v>
      </c>
      <c r="H18" s="66">
        <v>5000</v>
      </c>
      <c r="I18" s="66">
        <v>5000</v>
      </c>
      <c r="J18" s="66">
        <f t="shared" si="0"/>
        <v>250</v>
      </c>
    </row>
    <row r="19" spans="1:10" x14ac:dyDescent="0.25">
      <c r="A19" s="57">
        <v>81</v>
      </c>
      <c r="B19" s="57" t="s">
        <v>66</v>
      </c>
      <c r="C19" s="57" t="s">
        <v>67</v>
      </c>
      <c r="D19" s="57" t="s">
        <v>50</v>
      </c>
      <c r="E19" s="63">
        <v>45936</v>
      </c>
      <c r="F19" s="57" t="s">
        <v>65</v>
      </c>
      <c r="G19" s="57" t="s">
        <v>58</v>
      </c>
      <c r="H19" s="66">
        <v>5000</v>
      </c>
      <c r="I19" s="66">
        <v>5000</v>
      </c>
      <c r="J19" s="66">
        <f t="shared" si="0"/>
        <v>250</v>
      </c>
    </row>
    <row r="20" spans="1:10" x14ac:dyDescent="0.25">
      <c r="A20" s="57">
        <v>85</v>
      </c>
      <c r="B20" s="57" t="s">
        <v>68</v>
      </c>
      <c r="C20" s="57"/>
      <c r="D20" s="57" t="s">
        <v>61</v>
      </c>
      <c r="E20" s="63">
        <v>45937</v>
      </c>
      <c r="F20" s="57" t="s">
        <v>69</v>
      </c>
      <c r="G20" s="57" t="s">
        <v>58</v>
      </c>
      <c r="H20" s="66">
        <v>15000</v>
      </c>
      <c r="I20" s="66">
        <v>15000</v>
      </c>
      <c r="J20" s="66">
        <f t="shared" si="0"/>
        <v>750</v>
      </c>
    </row>
    <row r="21" spans="1:10" x14ac:dyDescent="0.25">
      <c r="A21" s="57">
        <v>86</v>
      </c>
      <c r="B21" s="57" t="s">
        <v>70</v>
      </c>
      <c r="C21" s="57"/>
      <c r="D21" s="57" t="s">
        <v>61</v>
      </c>
      <c r="E21" s="63">
        <v>45937</v>
      </c>
      <c r="F21" s="57" t="s">
        <v>71</v>
      </c>
      <c r="G21" s="57" t="s">
        <v>58</v>
      </c>
      <c r="H21" s="66">
        <v>10000</v>
      </c>
      <c r="I21" s="66">
        <v>10000</v>
      </c>
      <c r="J21" s="66">
        <f t="shared" si="0"/>
        <v>500</v>
      </c>
    </row>
    <row r="22" spans="1:10" x14ac:dyDescent="0.25">
      <c r="A22" s="57">
        <v>87</v>
      </c>
      <c r="B22" s="57" t="s">
        <v>72</v>
      </c>
      <c r="C22" s="57" t="s">
        <v>73</v>
      </c>
      <c r="D22" s="57" t="s">
        <v>74</v>
      </c>
      <c r="E22" s="63">
        <v>45937</v>
      </c>
      <c r="F22" s="57" t="s">
        <v>75</v>
      </c>
      <c r="G22" s="57" t="s">
        <v>58</v>
      </c>
      <c r="H22" s="66">
        <v>5000</v>
      </c>
      <c r="I22" s="66">
        <v>5000</v>
      </c>
      <c r="J22" s="66">
        <f t="shared" si="0"/>
        <v>250</v>
      </c>
    </row>
    <row r="23" spans="1:10" x14ac:dyDescent="0.25">
      <c r="A23" s="57">
        <v>89</v>
      </c>
      <c r="B23" s="57" t="s">
        <v>76</v>
      </c>
      <c r="C23" s="57"/>
      <c r="D23" s="57" t="s">
        <v>61</v>
      </c>
      <c r="E23" s="63">
        <v>45938</v>
      </c>
      <c r="F23" s="57" t="s">
        <v>69</v>
      </c>
      <c r="G23" s="57" t="s">
        <v>58</v>
      </c>
      <c r="H23" s="66">
        <v>10000</v>
      </c>
      <c r="I23" s="66">
        <v>10000</v>
      </c>
      <c r="J23" s="66">
        <f t="shared" si="0"/>
        <v>500</v>
      </c>
    </row>
    <row r="24" spans="1:10" x14ac:dyDescent="0.25">
      <c r="A24" s="57">
        <v>90</v>
      </c>
      <c r="B24" s="57" t="s">
        <v>68</v>
      </c>
      <c r="C24" s="57"/>
      <c r="D24" s="57" t="s">
        <v>61</v>
      </c>
      <c r="E24" s="63">
        <v>45938</v>
      </c>
      <c r="F24" s="57" t="s">
        <v>77</v>
      </c>
      <c r="G24" s="57" t="s">
        <v>58</v>
      </c>
      <c r="H24" s="66">
        <v>10000</v>
      </c>
      <c r="I24" s="66">
        <v>10000</v>
      </c>
      <c r="J24" s="66">
        <f t="shared" si="0"/>
        <v>500</v>
      </c>
    </row>
    <row r="25" spans="1:10" x14ac:dyDescent="0.25">
      <c r="A25" s="57">
        <v>91</v>
      </c>
      <c r="B25" s="57" t="s">
        <v>78</v>
      </c>
      <c r="C25" s="57"/>
      <c r="D25" s="57" t="s">
        <v>79</v>
      </c>
      <c r="E25" s="63">
        <v>45938</v>
      </c>
      <c r="F25" s="57" t="s">
        <v>69</v>
      </c>
      <c r="G25" s="57" t="s">
        <v>58</v>
      </c>
      <c r="H25" s="66">
        <v>15000</v>
      </c>
      <c r="I25" s="66">
        <v>15000</v>
      </c>
      <c r="J25" s="66">
        <f t="shared" si="0"/>
        <v>750</v>
      </c>
    </row>
    <row r="26" spans="1:10" x14ac:dyDescent="0.25">
      <c r="A26" s="57">
        <v>95</v>
      </c>
      <c r="B26" s="57" t="s">
        <v>68</v>
      </c>
      <c r="C26" s="57"/>
      <c r="D26" s="57" t="s">
        <v>61</v>
      </c>
      <c r="E26" s="63">
        <v>45939</v>
      </c>
      <c r="F26" s="57" t="s">
        <v>80</v>
      </c>
      <c r="G26" s="57" t="s">
        <v>58</v>
      </c>
      <c r="H26" s="66">
        <v>10000</v>
      </c>
      <c r="I26" s="66">
        <v>10000</v>
      </c>
      <c r="J26" s="66">
        <f t="shared" si="0"/>
        <v>500</v>
      </c>
    </row>
    <row r="27" spans="1:10" x14ac:dyDescent="0.25">
      <c r="A27" s="57">
        <v>121</v>
      </c>
      <c r="B27" s="57" t="s">
        <v>81</v>
      </c>
      <c r="C27" s="57" t="s">
        <v>82</v>
      </c>
      <c r="D27" s="57" t="s">
        <v>83</v>
      </c>
      <c r="E27" s="63">
        <v>45933</v>
      </c>
      <c r="F27" s="57" t="s">
        <v>84</v>
      </c>
      <c r="G27" s="57" t="s">
        <v>58</v>
      </c>
      <c r="H27" s="66">
        <v>67000</v>
      </c>
      <c r="I27" s="66">
        <v>67000</v>
      </c>
      <c r="J27" s="66">
        <f t="shared" si="0"/>
        <v>3350</v>
      </c>
    </row>
    <row r="28" spans="1:10" x14ac:dyDescent="0.25">
      <c r="A28" s="57">
        <v>122</v>
      </c>
      <c r="B28" s="57" t="s">
        <v>85</v>
      </c>
      <c r="C28" s="57" t="s">
        <v>86</v>
      </c>
      <c r="D28" s="57" t="s">
        <v>87</v>
      </c>
      <c r="E28" s="63">
        <v>45933</v>
      </c>
      <c r="F28" s="57" t="s">
        <v>88</v>
      </c>
      <c r="G28" s="57" t="s">
        <v>52</v>
      </c>
      <c r="H28" s="66">
        <v>14000</v>
      </c>
      <c r="I28" s="66">
        <v>28000</v>
      </c>
      <c r="J28" s="66">
        <f t="shared" si="0"/>
        <v>1400</v>
      </c>
    </row>
    <row r="29" spans="1:10" x14ac:dyDescent="0.25">
      <c r="A29" s="57">
        <v>123</v>
      </c>
      <c r="B29" s="57" t="s">
        <v>89</v>
      </c>
      <c r="C29" s="57" t="s">
        <v>90</v>
      </c>
      <c r="D29" s="57" t="s">
        <v>91</v>
      </c>
      <c r="E29" s="63">
        <v>45933</v>
      </c>
      <c r="F29" s="57" t="s">
        <v>88</v>
      </c>
      <c r="G29" s="57" t="s">
        <v>52</v>
      </c>
      <c r="H29" s="66">
        <v>10000</v>
      </c>
      <c r="I29" s="66">
        <v>20000</v>
      </c>
      <c r="J29" s="66">
        <f t="shared" si="0"/>
        <v>1000</v>
      </c>
    </row>
    <row r="30" spans="1:10" x14ac:dyDescent="0.25">
      <c r="A30" s="57">
        <v>129</v>
      </c>
      <c r="B30" s="57" t="s">
        <v>92</v>
      </c>
      <c r="C30" s="57" t="s">
        <v>93</v>
      </c>
      <c r="D30" s="57" t="s">
        <v>94</v>
      </c>
      <c r="E30" s="63">
        <v>45931</v>
      </c>
      <c r="F30" s="57" t="s">
        <v>88</v>
      </c>
      <c r="G30" s="57" t="s">
        <v>58</v>
      </c>
      <c r="H30" s="66">
        <v>50000</v>
      </c>
      <c r="I30" s="66">
        <v>50000</v>
      </c>
      <c r="J30" s="66">
        <f t="shared" si="0"/>
        <v>2500</v>
      </c>
    </row>
    <row r="31" spans="1:10" x14ac:dyDescent="0.25">
      <c r="A31" s="57">
        <v>130</v>
      </c>
      <c r="B31" s="57" t="s">
        <v>96</v>
      </c>
      <c r="C31" s="57" t="s">
        <v>97</v>
      </c>
      <c r="D31" s="57" t="s">
        <v>98</v>
      </c>
      <c r="E31" s="63">
        <v>45931</v>
      </c>
      <c r="F31" s="57" t="s">
        <v>88</v>
      </c>
      <c r="G31" s="57" t="s">
        <v>58</v>
      </c>
      <c r="H31" s="66">
        <v>50000</v>
      </c>
      <c r="I31" s="66">
        <v>50000</v>
      </c>
      <c r="J31" s="66">
        <f t="shared" si="0"/>
        <v>2500</v>
      </c>
    </row>
    <row r="32" spans="1:10" x14ac:dyDescent="0.25">
      <c r="A32" s="57">
        <v>131</v>
      </c>
      <c r="B32" s="57" t="s">
        <v>99</v>
      </c>
      <c r="C32" s="57" t="s">
        <v>100</v>
      </c>
      <c r="D32" s="57" t="s">
        <v>101</v>
      </c>
      <c r="E32" s="63">
        <v>45933</v>
      </c>
      <c r="F32" s="57" t="s">
        <v>88</v>
      </c>
      <c r="G32" s="57" t="s">
        <v>58</v>
      </c>
      <c r="H32" s="66">
        <v>50000</v>
      </c>
      <c r="I32" s="66">
        <v>50000</v>
      </c>
      <c r="J32" s="66">
        <f t="shared" si="0"/>
        <v>2500</v>
      </c>
    </row>
    <row r="33" spans="1:10" x14ac:dyDescent="0.25">
      <c r="A33" s="57">
        <v>132</v>
      </c>
      <c r="B33" s="57" t="s">
        <v>102</v>
      </c>
      <c r="C33" s="57" t="s">
        <v>103</v>
      </c>
      <c r="D33" s="57" t="s">
        <v>104</v>
      </c>
      <c r="E33" s="63">
        <v>45933</v>
      </c>
      <c r="F33" s="57" t="s">
        <v>88</v>
      </c>
      <c r="G33" s="57" t="s">
        <v>58</v>
      </c>
      <c r="H33" s="66">
        <v>50000</v>
      </c>
      <c r="I33" s="66">
        <v>50000</v>
      </c>
      <c r="J33" s="66">
        <f t="shared" si="0"/>
        <v>2500</v>
      </c>
    </row>
    <row r="34" spans="1:10" x14ac:dyDescent="0.25">
      <c r="A34" s="57">
        <v>133</v>
      </c>
      <c r="B34" s="57" t="s">
        <v>105</v>
      </c>
      <c r="C34" s="57" t="s">
        <v>106</v>
      </c>
      <c r="D34" s="57" t="s">
        <v>107</v>
      </c>
      <c r="E34" s="63">
        <v>45933</v>
      </c>
      <c r="F34" s="57" t="s">
        <v>88</v>
      </c>
      <c r="G34" s="57" t="s">
        <v>58</v>
      </c>
      <c r="H34" s="66">
        <v>50000</v>
      </c>
      <c r="I34" s="66">
        <v>50000</v>
      </c>
      <c r="J34" s="66">
        <f t="shared" si="0"/>
        <v>2500</v>
      </c>
    </row>
    <row r="35" spans="1:10" x14ac:dyDescent="0.25">
      <c r="A35" s="57">
        <v>134</v>
      </c>
      <c r="B35" s="57" t="s">
        <v>108</v>
      </c>
      <c r="C35" s="57" t="s">
        <v>109</v>
      </c>
      <c r="D35" s="57" t="s">
        <v>110</v>
      </c>
      <c r="E35" s="63">
        <v>45933</v>
      </c>
      <c r="F35" s="57" t="s">
        <v>88</v>
      </c>
      <c r="G35" s="57" t="s">
        <v>58</v>
      </c>
      <c r="H35" s="66">
        <v>50000</v>
      </c>
      <c r="I35" s="66">
        <v>50000</v>
      </c>
      <c r="J35" s="66">
        <f t="shared" si="0"/>
        <v>2500</v>
      </c>
    </row>
    <row r="36" spans="1:10" x14ac:dyDescent="0.25">
      <c r="A36" s="57">
        <v>135</v>
      </c>
      <c r="B36" s="57" t="s">
        <v>111</v>
      </c>
      <c r="C36" s="57" t="s">
        <v>112</v>
      </c>
      <c r="D36" s="57" t="s">
        <v>113</v>
      </c>
      <c r="E36" s="63">
        <v>45934</v>
      </c>
      <c r="F36" s="57" t="s">
        <v>88</v>
      </c>
      <c r="G36" s="57" t="s">
        <v>58</v>
      </c>
      <c r="H36" s="66">
        <v>50000</v>
      </c>
      <c r="I36" s="66">
        <v>50000</v>
      </c>
      <c r="J36" s="66">
        <f t="shared" si="0"/>
        <v>2500</v>
      </c>
    </row>
    <row r="37" spans="1:10" x14ac:dyDescent="0.25">
      <c r="A37" s="57">
        <v>136</v>
      </c>
      <c r="B37" s="57" t="s">
        <v>114</v>
      </c>
      <c r="C37" s="57" t="s">
        <v>115</v>
      </c>
      <c r="D37" s="57" t="s">
        <v>113</v>
      </c>
      <c r="E37" s="63">
        <v>45933</v>
      </c>
      <c r="F37" s="57" t="s">
        <v>88</v>
      </c>
      <c r="G37" s="57" t="s">
        <v>58</v>
      </c>
      <c r="H37" s="66">
        <v>50000</v>
      </c>
      <c r="I37" s="66">
        <v>50000</v>
      </c>
      <c r="J37" s="66">
        <f t="shared" si="0"/>
        <v>2500</v>
      </c>
    </row>
    <row r="38" spans="1:10" x14ac:dyDescent="0.25">
      <c r="A38" s="57">
        <v>154</v>
      </c>
      <c r="B38" s="57" t="s">
        <v>116</v>
      </c>
      <c r="C38" s="57" t="s">
        <v>117</v>
      </c>
      <c r="D38" s="57" t="s">
        <v>113</v>
      </c>
      <c r="E38" s="63">
        <v>45944</v>
      </c>
      <c r="F38" s="57" t="s">
        <v>118</v>
      </c>
      <c r="G38" s="57" t="s">
        <v>58</v>
      </c>
      <c r="H38" s="66">
        <v>30000</v>
      </c>
      <c r="I38" s="66">
        <v>30000</v>
      </c>
      <c r="J38" s="66">
        <f t="shared" si="0"/>
        <v>1500</v>
      </c>
    </row>
    <row r="39" spans="1:10" x14ac:dyDescent="0.25">
      <c r="A39" s="57">
        <v>166</v>
      </c>
      <c r="B39" s="57" t="s">
        <v>119</v>
      </c>
      <c r="C39" s="57" t="s">
        <v>120</v>
      </c>
      <c r="D39" s="57" t="s">
        <v>121</v>
      </c>
      <c r="E39" s="63">
        <v>45940</v>
      </c>
      <c r="F39" s="57" t="s">
        <v>122</v>
      </c>
      <c r="G39" s="57" t="s">
        <v>63</v>
      </c>
      <c r="H39" s="66">
        <v>1000</v>
      </c>
      <c r="I39" s="66">
        <v>1600000</v>
      </c>
      <c r="J39" s="66">
        <f t="shared" si="0"/>
        <v>80000</v>
      </c>
    </row>
    <row r="40" spans="1:10" x14ac:dyDescent="0.25">
      <c r="A40" s="57">
        <v>167</v>
      </c>
      <c r="B40" s="57" t="s">
        <v>123</v>
      </c>
      <c r="C40" s="57" t="s">
        <v>124</v>
      </c>
      <c r="D40" s="57" t="s">
        <v>121</v>
      </c>
      <c r="E40" s="63">
        <v>45940</v>
      </c>
      <c r="F40" s="57" t="s">
        <v>125</v>
      </c>
      <c r="G40" s="57" t="s">
        <v>126</v>
      </c>
      <c r="H40" s="66">
        <v>40000</v>
      </c>
      <c r="I40" s="66">
        <v>160000</v>
      </c>
      <c r="J40" s="66">
        <f t="shared" si="0"/>
        <v>8000</v>
      </c>
    </row>
    <row r="41" spans="1:10" x14ac:dyDescent="0.25">
      <c r="A41" s="57">
        <v>168</v>
      </c>
      <c r="B41" s="57" t="s">
        <v>127</v>
      </c>
      <c r="C41" s="57" t="s">
        <v>128</v>
      </c>
      <c r="D41" s="57" t="s">
        <v>121</v>
      </c>
      <c r="E41" s="63">
        <v>45939</v>
      </c>
      <c r="F41" s="57" t="s">
        <v>129</v>
      </c>
      <c r="G41" s="57" t="s">
        <v>63</v>
      </c>
      <c r="H41" s="66">
        <v>10000</v>
      </c>
      <c r="I41" s="66">
        <v>30000</v>
      </c>
      <c r="J41" s="66">
        <f t="shared" si="0"/>
        <v>1500</v>
      </c>
    </row>
    <row r="42" spans="1:10" x14ac:dyDescent="0.25">
      <c r="A42" s="57">
        <v>169</v>
      </c>
      <c r="B42" s="57" t="s">
        <v>130</v>
      </c>
      <c r="C42" s="57" t="s">
        <v>131</v>
      </c>
      <c r="D42" s="57" t="s">
        <v>79</v>
      </c>
      <c r="E42" s="63">
        <v>45939</v>
      </c>
      <c r="F42" s="57" t="s">
        <v>132</v>
      </c>
      <c r="G42" s="57" t="s">
        <v>63</v>
      </c>
      <c r="H42" s="66">
        <v>7000</v>
      </c>
      <c r="I42" s="66">
        <v>21000</v>
      </c>
      <c r="J42" s="66">
        <f t="shared" si="0"/>
        <v>1050</v>
      </c>
    </row>
    <row r="43" spans="1:10" x14ac:dyDescent="0.25">
      <c r="A43" s="57">
        <v>175</v>
      </c>
      <c r="B43" s="57" t="s">
        <v>133</v>
      </c>
      <c r="C43" s="57" t="s">
        <v>134</v>
      </c>
      <c r="D43" s="57" t="s">
        <v>135</v>
      </c>
      <c r="E43" s="63">
        <v>45938</v>
      </c>
      <c r="F43" s="57" t="s">
        <v>136</v>
      </c>
      <c r="G43" s="57" t="s">
        <v>63</v>
      </c>
      <c r="H43" s="66">
        <v>10000</v>
      </c>
      <c r="I43" s="66">
        <v>20000</v>
      </c>
      <c r="J43" s="66">
        <f t="shared" si="0"/>
        <v>1000</v>
      </c>
    </row>
    <row r="44" spans="1:10" x14ac:dyDescent="0.25">
      <c r="A44" s="57">
        <v>176</v>
      </c>
      <c r="B44" s="57" t="s">
        <v>137</v>
      </c>
      <c r="C44" s="57" t="s">
        <v>138</v>
      </c>
      <c r="D44" s="57" t="s">
        <v>139</v>
      </c>
      <c r="E44" s="63">
        <v>45942</v>
      </c>
      <c r="F44" s="57" t="s">
        <v>140</v>
      </c>
      <c r="G44" s="57" t="s">
        <v>58</v>
      </c>
      <c r="H44" s="66">
        <v>7000</v>
      </c>
      <c r="I44" s="66">
        <v>7000</v>
      </c>
      <c r="J44" s="66">
        <f t="shared" si="0"/>
        <v>350</v>
      </c>
    </row>
    <row r="45" spans="1:10" x14ac:dyDescent="0.25">
      <c r="A45" s="57">
        <v>177</v>
      </c>
      <c r="B45" s="57" t="s">
        <v>137</v>
      </c>
      <c r="C45" s="57" t="s">
        <v>138</v>
      </c>
      <c r="D45" s="57" t="s">
        <v>139</v>
      </c>
      <c r="E45" s="63">
        <v>45936</v>
      </c>
      <c r="F45" s="57" t="s">
        <v>141</v>
      </c>
      <c r="G45" s="57" t="s">
        <v>58</v>
      </c>
      <c r="H45" s="66">
        <v>9000</v>
      </c>
      <c r="I45" s="66">
        <v>9000</v>
      </c>
      <c r="J45" s="66">
        <f t="shared" si="0"/>
        <v>450</v>
      </c>
    </row>
    <row r="46" spans="1:10" x14ac:dyDescent="0.25">
      <c r="A46" s="57">
        <v>178</v>
      </c>
      <c r="B46" s="57" t="s">
        <v>142</v>
      </c>
      <c r="C46" s="57" t="s">
        <v>143</v>
      </c>
      <c r="D46" s="57" t="s">
        <v>121</v>
      </c>
      <c r="E46" s="63">
        <v>45948</v>
      </c>
      <c r="F46" s="57" t="s">
        <v>144</v>
      </c>
      <c r="G46" s="57" t="s">
        <v>145</v>
      </c>
      <c r="H46" s="66">
        <v>1000</v>
      </c>
      <c r="I46" s="66">
        <v>24000</v>
      </c>
      <c r="J46" s="66">
        <f t="shared" si="0"/>
        <v>1200</v>
      </c>
    </row>
    <row r="47" spans="1:10" x14ac:dyDescent="0.25">
      <c r="A47" s="57">
        <v>179</v>
      </c>
      <c r="B47" s="57" t="s">
        <v>146</v>
      </c>
      <c r="C47" s="57" t="s">
        <v>147</v>
      </c>
      <c r="D47" s="57" t="s">
        <v>121</v>
      </c>
      <c r="E47" s="63">
        <v>45948</v>
      </c>
      <c r="F47" s="57" t="s">
        <v>148</v>
      </c>
      <c r="G47" s="57" t="s">
        <v>58</v>
      </c>
      <c r="H47" s="66">
        <v>280000</v>
      </c>
      <c r="I47" s="66">
        <v>28000</v>
      </c>
      <c r="J47" s="66">
        <f t="shared" si="0"/>
        <v>1400</v>
      </c>
    </row>
    <row r="48" spans="1:10" x14ac:dyDescent="0.25">
      <c r="A48" s="57">
        <v>180</v>
      </c>
      <c r="B48" s="57" t="s">
        <v>149</v>
      </c>
      <c r="C48" s="57" t="s">
        <v>150</v>
      </c>
      <c r="D48" s="57" t="s">
        <v>151</v>
      </c>
      <c r="E48" s="63">
        <v>45948</v>
      </c>
      <c r="F48" s="57" t="s">
        <v>152</v>
      </c>
      <c r="G48" s="57" t="s">
        <v>153</v>
      </c>
      <c r="H48" s="66">
        <v>10000</v>
      </c>
      <c r="I48" s="66">
        <v>20000</v>
      </c>
      <c r="J48" s="66">
        <f t="shared" si="0"/>
        <v>1000</v>
      </c>
    </row>
    <row r="49" spans="1:10" x14ac:dyDescent="0.25">
      <c r="A49" s="57">
        <v>181</v>
      </c>
      <c r="B49" s="57" t="s">
        <v>154</v>
      </c>
      <c r="C49" s="57" t="s">
        <v>155</v>
      </c>
      <c r="D49" s="57" t="s">
        <v>156</v>
      </c>
      <c r="E49" s="63">
        <v>45946</v>
      </c>
      <c r="F49" s="57" t="s">
        <v>129</v>
      </c>
      <c r="G49" s="57" t="s">
        <v>63</v>
      </c>
      <c r="H49" s="66">
        <v>10000</v>
      </c>
      <c r="I49" s="66">
        <v>14000</v>
      </c>
      <c r="J49" s="66">
        <f t="shared" si="0"/>
        <v>700</v>
      </c>
    </row>
    <row r="50" spans="1:10" x14ac:dyDescent="0.25">
      <c r="A50" s="57">
        <v>182</v>
      </c>
      <c r="B50" s="57" t="s">
        <v>157</v>
      </c>
      <c r="C50" s="57" t="s">
        <v>158</v>
      </c>
      <c r="D50" s="57" t="s">
        <v>121</v>
      </c>
      <c r="E50" s="63">
        <v>45946</v>
      </c>
      <c r="F50" s="57" t="s">
        <v>129</v>
      </c>
      <c r="G50" s="57" t="s">
        <v>63</v>
      </c>
      <c r="H50" s="66">
        <v>10000</v>
      </c>
      <c r="I50" s="66">
        <v>20000</v>
      </c>
      <c r="J50" s="66">
        <f t="shared" si="0"/>
        <v>1000</v>
      </c>
    </row>
    <row r="51" spans="1:10" x14ac:dyDescent="0.25">
      <c r="A51" s="57">
        <v>183</v>
      </c>
      <c r="B51" s="57" t="s">
        <v>157</v>
      </c>
      <c r="C51" s="57" t="s">
        <v>158</v>
      </c>
      <c r="D51" s="57" t="s">
        <v>121</v>
      </c>
      <c r="E51" s="63">
        <v>45947</v>
      </c>
      <c r="F51" s="57" t="s">
        <v>125</v>
      </c>
      <c r="G51" s="57" t="s">
        <v>126</v>
      </c>
      <c r="H51" s="66">
        <v>40000</v>
      </c>
      <c r="I51" s="66">
        <v>200000</v>
      </c>
      <c r="J51" s="66">
        <f t="shared" si="0"/>
        <v>10000</v>
      </c>
    </row>
    <row r="52" spans="1:10" x14ac:dyDescent="0.25">
      <c r="A52" s="57">
        <v>184</v>
      </c>
      <c r="B52" s="57" t="s">
        <v>159</v>
      </c>
      <c r="C52" s="57" t="s">
        <v>160</v>
      </c>
      <c r="D52" s="57" t="s">
        <v>121</v>
      </c>
      <c r="E52" s="63">
        <v>45946</v>
      </c>
      <c r="F52" s="57" t="s">
        <v>161</v>
      </c>
      <c r="G52" s="57" t="s">
        <v>58</v>
      </c>
      <c r="H52" s="66">
        <v>70000</v>
      </c>
      <c r="I52" s="66">
        <v>70000</v>
      </c>
      <c r="J52" s="66">
        <f t="shared" si="0"/>
        <v>3500</v>
      </c>
    </row>
    <row r="53" spans="1:10" x14ac:dyDescent="0.25">
      <c r="A53" s="57">
        <v>222</v>
      </c>
      <c r="B53" s="57" t="s">
        <v>162</v>
      </c>
      <c r="C53" s="57" t="s">
        <v>56</v>
      </c>
      <c r="D53" s="57" t="s">
        <v>61</v>
      </c>
      <c r="E53" s="63">
        <v>45940</v>
      </c>
      <c r="F53" s="57" t="s">
        <v>163</v>
      </c>
      <c r="G53" s="57" t="s">
        <v>58</v>
      </c>
      <c r="H53" s="66">
        <v>5000</v>
      </c>
      <c r="I53" s="66">
        <v>5000</v>
      </c>
      <c r="J53" s="66">
        <f t="shared" si="0"/>
        <v>250</v>
      </c>
    </row>
    <row r="54" spans="1:10" x14ac:dyDescent="0.25">
      <c r="A54" s="57">
        <v>228</v>
      </c>
      <c r="B54" s="57" t="s">
        <v>68</v>
      </c>
      <c r="C54" s="57" t="s">
        <v>56</v>
      </c>
      <c r="D54" s="57" t="s">
        <v>61</v>
      </c>
      <c r="E54" s="63">
        <v>45943</v>
      </c>
      <c r="F54" s="57" t="s">
        <v>75</v>
      </c>
      <c r="G54" s="57" t="s">
        <v>58</v>
      </c>
      <c r="H54" s="66">
        <v>5000</v>
      </c>
      <c r="I54" s="66">
        <v>5000</v>
      </c>
      <c r="J54" s="66">
        <f t="shared" si="0"/>
        <v>250</v>
      </c>
    </row>
    <row r="55" spans="1:10" x14ac:dyDescent="0.25">
      <c r="A55" s="57">
        <v>231</v>
      </c>
      <c r="B55" s="57" t="s">
        <v>164</v>
      </c>
      <c r="C55" s="57" t="s">
        <v>165</v>
      </c>
      <c r="D55" s="57" t="s">
        <v>61</v>
      </c>
      <c r="E55" s="63">
        <v>45943</v>
      </c>
      <c r="F55" s="57" t="s">
        <v>166</v>
      </c>
      <c r="G55" s="57" t="s">
        <v>58</v>
      </c>
      <c r="H55" s="66">
        <v>5000</v>
      </c>
      <c r="I55" s="66">
        <v>5000</v>
      </c>
      <c r="J55" s="66">
        <f t="shared" si="0"/>
        <v>250</v>
      </c>
    </row>
    <row r="56" spans="1:10" x14ac:dyDescent="0.25">
      <c r="A56" s="57">
        <v>255</v>
      </c>
      <c r="B56" s="57" t="s">
        <v>167</v>
      </c>
      <c r="C56" s="57" t="s">
        <v>168</v>
      </c>
      <c r="D56" s="57" t="s">
        <v>151</v>
      </c>
      <c r="E56" s="63">
        <v>45937</v>
      </c>
      <c r="F56" s="57" t="s">
        <v>169</v>
      </c>
      <c r="G56" s="57" t="s">
        <v>58</v>
      </c>
      <c r="H56" s="66">
        <v>59000</v>
      </c>
      <c r="I56" s="66">
        <v>59000</v>
      </c>
      <c r="J56" s="66">
        <f t="shared" si="0"/>
        <v>2950</v>
      </c>
    </row>
    <row r="57" spans="1:10" x14ac:dyDescent="0.25">
      <c r="A57" s="57">
        <v>256</v>
      </c>
      <c r="B57" s="57" t="s">
        <v>170</v>
      </c>
      <c r="C57" s="57" t="s">
        <v>171</v>
      </c>
      <c r="D57" s="57" t="s">
        <v>151</v>
      </c>
      <c r="E57" s="63">
        <v>45941</v>
      </c>
      <c r="F57" s="57" t="s">
        <v>172</v>
      </c>
      <c r="G57" s="57" t="s">
        <v>153</v>
      </c>
      <c r="H57" s="66">
        <v>9000</v>
      </c>
      <c r="I57" s="66">
        <v>36000</v>
      </c>
      <c r="J57" s="66">
        <f t="shared" si="0"/>
        <v>1800</v>
      </c>
    </row>
    <row r="58" spans="1:10" x14ac:dyDescent="0.25">
      <c r="A58" s="57">
        <v>260</v>
      </c>
      <c r="B58" s="57" t="s">
        <v>173</v>
      </c>
      <c r="C58" s="57" t="s">
        <v>174</v>
      </c>
      <c r="D58" s="57" t="s">
        <v>74</v>
      </c>
      <c r="E58" s="63">
        <v>45953</v>
      </c>
      <c r="F58" s="57" t="s">
        <v>175</v>
      </c>
      <c r="G58" s="57" t="s">
        <v>153</v>
      </c>
      <c r="H58" s="66">
        <v>9000</v>
      </c>
      <c r="I58" s="66">
        <v>18000</v>
      </c>
      <c r="J58" s="66">
        <f t="shared" si="0"/>
        <v>900</v>
      </c>
    </row>
    <row r="59" spans="1:10" x14ac:dyDescent="0.25">
      <c r="A59" s="57">
        <v>272</v>
      </c>
      <c r="B59" s="57" t="s">
        <v>173</v>
      </c>
      <c r="C59" s="57" t="s">
        <v>174</v>
      </c>
      <c r="D59" s="57" t="s">
        <v>74</v>
      </c>
      <c r="E59" s="63">
        <v>45951</v>
      </c>
      <c r="F59" s="57" t="s">
        <v>176</v>
      </c>
      <c r="G59" s="57" t="s">
        <v>153</v>
      </c>
      <c r="H59" s="66">
        <v>9000</v>
      </c>
      <c r="I59" s="66">
        <v>18000</v>
      </c>
      <c r="J59" s="66">
        <f t="shared" si="0"/>
        <v>900</v>
      </c>
    </row>
    <row r="60" spans="1:10" x14ac:dyDescent="0.25">
      <c r="A60" s="57">
        <v>273</v>
      </c>
      <c r="B60" s="57" t="s">
        <v>173</v>
      </c>
      <c r="C60" s="57" t="s">
        <v>174</v>
      </c>
      <c r="D60" s="57" t="s">
        <v>74</v>
      </c>
      <c r="E60" s="63">
        <v>45954</v>
      </c>
      <c r="F60" s="57" t="s">
        <v>177</v>
      </c>
      <c r="G60" s="57" t="s">
        <v>153</v>
      </c>
      <c r="H60" s="66">
        <v>9000</v>
      </c>
      <c r="I60" s="66">
        <v>18000</v>
      </c>
      <c r="J60" s="66">
        <f t="shared" si="0"/>
        <v>900</v>
      </c>
    </row>
    <row r="61" spans="1:10" x14ac:dyDescent="0.25">
      <c r="A61" s="57">
        <v>274</v>
      </c>
      <c r="B61" s="57" t="s">
        <v>173</v>
      </c>
      <c r="C61" s="57" t="s">
        <v>174</v>
      </c>
      <c r="D61" s="57" t="s">
        <v>74</v>
      </c>
      <c r="E61" s="63">
        <v>45938</v>
      </c>
      <c r="F61" s="57" t="s">
        <v>178</v>
      </c>
      <c r="G61" s="57" t="s">
        <v>153</v>
      </c>
      <c r="H61" s="66">
        <v>9000</v>
      </c>
      <c r="I61" s="66">
        <v>18000</v>
      </c>
      <c r="J61" s="66">
        <f t="shared" si="0"/>
        <v>900</v>
      </c>
    </row>
    <row r="62" spans="1:10" x14ac:dyDescent="0.25">
      <c r="A62" s="57">
        <v>275</v>
      </c>
      <c r="B62" s="57" t="s">
        <v>173</v>
      </c>
      <c r="C62" s="57" t="s">
        <v>174</v>
      </c>
      <c r="D62" s="57" t="s">
        <v>74</v>
      </c>
      <c r="E62" s="63">
        <v>45955</v>
      </c>
      <c r="F62" s="57" t="s">
        <v>179</v>
      </c>
      <c r="G62" s="57" t="s">
        <v>180</v>
      </c>
      <c r="H62" s="66">
        <v>9000</v>
      </c>
      <c r="I62" s="66">
        <v>18000</v>
      </c>
      <c r="J62" s="66">
        <f t="shared" si="0"/>
        <v>900</v>
      </c>
    </row>
    <row r="63" spans="1:10" x14ac:dyDescent="0.25">
      <c r="A63" s="57">
        <v>276</v>
      </c>
      <c r="B63" s="57" t="s">
        <v>173</v>
      </c>
      <c r="C63" s="57" t="s">
        <v>174</v>
      </c>
      <c r="D63" s="57" t="s">
        <v>74</v>
      </c>
      <c r="E63" s="63">
        <v>45943</v>
      </c>
      <c r="F63" s="57" t="s">
        <v>144</v>
      </c>
      <c r="G63" s="57" t="s">
        <v>153</v>
      </c>
      <c r="H63" s="66">
        <v>9000</v>
      </c>
      <c r="I63" s="66">
        <v>18000</v>
      </c>
      <c r="J63" s="66">
        <f t="shared" si="0"/>
        <v>900</v>
      </c>
    </row>
    <row r="64" spans="1:10" x14ac:dyDescent="0.25">
      <c r="A64" s="57">
        <v>277</v>
      </c>
      <c r="B64" s="57" t="s">
        <v>173</v>
      </c>
      <c r="C64" s="57" t="s">
        <v>174</v>
      </c>
      <c r="D64" s="57" t="s">
        <v>74</v>
      </c>
      <c r="E64" s="63">
        <v>45952</v>
      </c>
      <c r="F64" s="57" t="s">
        <v>181</v>
      </c>
      <c r="G64" s="57" t="s">
        <v>153</v>
      </c>
      <c r="H64" s="66">
        <v>9000</v>
      </c>
      <c r="I64" s="66">
        <v>18000</v>
      </c>
      <c r="J64" s="66">
        <f t="shared" si="0"/>
        <v>900</v>
      </c>
    </row>
    <row r="65" spans="1:10" x14ac:dyDescent="0.25">
      <c r="A65" s="57">
        <v>278</v>
      </c>
      <c r="B65" s="57" t="s">
        <v>173</v>
      </c>
      <c r="C65" s="57" t="s">
        <v>174</v>
      </c>
      <c r="D65" s="57" t="s">
        <v>74</v>
      </c>
      <c r="E65" s="63">
        <v>45950</v>
      </c>
      <c r="F65" s="57" t="s">
        <v>88</v>
      </c>
      <c r="G65" s="57" t="s">
        <v>153</v>
      </c>
      <c r="H65" s="66">
        <v>12000</v>
      </c>
      <c r="I65" s="66">
        <v>96000</v>
      </c>
      <c r="J65" s="66">
        <f t="shared" si="0"/>
        <v>4800</v>
      </c>
    </row>
    <row r="66" spans="1:10" x14ac:dyDescent="0.25">
      <c r="A66" s="57">
        <v>279</v>
      </c>
      <c r="B66" s="57" t="s">
        <v>72</v>
      </c>
      <c r="C66" s="57" t="s">
        <v>73</v>
      </c>
      <c r="D66" s="57" t="s">
        <v>74</v>
      </c>
      <c r="E66" s="63">
        <v>45947</v>
      </c>
      <c r="F66" s="57" t="s">
        <v>182</v>
      </c>
      <c r="G66" s="57" t="s">
        <v>58</v>
      </c>
      <c r="H66" s="66">
        <v>20000</v>
      </c>
      <c r="I66" s="66">
        <v>20000</v>
      </c>
      <c r="J66" s="66">
        <f t="shared" si="0"/>
        <v>1000</v>
      </c>
    </row>
    <row r="67" spans="1:10" x14ac:dyDescent="0.25">
      <c r="A67" s="57">
        <v>280</v>
      </c>
      <c r="B67" s="57" t="s">
        <v>72</v>
      </c>
      <c r="C67" s="57" t="s">
        <v>73</v>
      </c>
      <c r="D67" s="57" t="s">
        <v>74</v>
      </c>
      <c r="E67" s="63">
        <v>45947</v>
      </c>
      <c r="F67" s="57" t="s">
        <v>182</v>
      </c>
      <c r="G67" s="57" t="s">
        <v>58</v>
      </c>
      <c r="H67" s="66">
        <v>10000</v>
      </c>
      <c r="I67" s="66">
        <v>10000</v>
      </c>
      <c r="J67" s="66">
        <f t="shared" si="0"/>
        <v>500</v>
      </c>
    </row>
    <row r="68" spans="1:10" x14ac:dyDescent="0.25">
      <c r="A68" s="57">
        <v>281</v>
      </c>
      <c r="B68" s="57" t="s">
        <v>72</v>
      </c>
      <c r="C68" s="57" t="s">
        <v>73</v>
      </c>
      <c r="D68" s="57" t="s">
        <v>74</v>
      </c>
      <c r="E68" s="63">
        <v>45958</v>
      </c>
      <c r="F68" s="57" t="s">
        <v>182</v>
      </c>
      <c r="G68" s="57" t="s">
        <v>58</v>
      </c>
      <c r="H68" s="66">
        <v>5000</v>
      </c>
      <c r="I68" s="66">
        <v>5000</v>
      </c>
      <c r="J68" s="66">
        <f t="shared" si="0"/>
        <v>250</v>
      </c>
    </row>
    <row r="69" spans="1:10" x14ac:dyDescent="0.25">
      <c r="A69" s="57">
        <v>282</v>
      </c>
      <c r="B69" s="57" t="s">
        <v>72</v>
      </c>
      <c r="C69" s="57" t="s">
        <v>73</v>
      </c>
      <c r="D69" s="57" t="s">
        <v>74</v>
      </c>
      <c r="E69" s="63">
        <v>45960</v>
      </c>
      <c r="F69" s="57" t="s">
        <v>182</v>
      </c>
      <c r="G69" s="57" t="s">
        <v>58</v>
      </c>
      <c r="H69" s="66">
        <v>10000</v>
      </c>
      <c r="I69" s="66">
        <v>10000</v>
      </c>
      <c r="J69" s="66">
        <f t="shared" si="0"/>
        <v>500</v>
      </c>
    </row>
    <row r="70" spans="1:10" x14ac:dyDescent="0.25">
      <c r="A70" s="57">
        <v>283</v>
      </c>
      <c r="B70" s="57" t="s">
        <v>72</v>
      </c>
      <c r="C70" s="57" t="s">
        <v>73</v>
      </c>
      <c r="D70" s="57" t="s">
        <v>74</v>
      </c>
      <c r="E70" s="63">
        <v>45940</v>
      </c>
      <c r="F70" s="57" t="s">
        <v>182</v>
      </c>
      <c r="G70" s="57" t="s">
        <v>58</v>
      </c>
      <c r="H70" s="66">
        <v>5000</v>
      </c>
      <c r="I70" s="66">
        <v>5000</v>
      </c>
      <c r="J70" s="66">
        <f t="shared" si="0"/>
        <v>250</v>
      </c>
    </row>
    <row r="71" spans="1:10" x14ac:dyDescent="0.25">
      <c r="A71" s="57">
        <v>284</v>
      </c>
      <c r="B71" s="57" t="s">
        <v>72</v>
      </c>
      <c r="C71" s="57" t="s">
        <v>73</v>
      </c>
      <c r="D71" s="57" t="s">
        <v>74</v>
      </c>
      <c r="E71" s="63">
        <v>45945</v>
      </c>
      <c r="F71" s="57" t="s">
        <v>182</v>
      </c>
      <c r="G71" s="57" t="s">
        <v>58</v>
      </c>
      <c r="H71" s="66">
        <v>5000</v>
      </c>
      <c r="I71" s="66">
        <v>5000</v>
      </c>
      <c r="J71" s="66">
        <f t="shared" si="0"/>
        <v>250</v>
      </c>
    </row>
    <row r="72" spans="1:10" x14ac:dyDescent="0.25">
      <c r="A72" s="57">
        <v>285</v>
      </c>
      <c r="B72" s="57" t="s">
        <v>72</v>
      </c>
      <c r="C72" s="57" t="s">
        <v>73</v>
      </c>
      <c r="D72" s="57" t="s">
        <v>74</v>
      </c>
      <c r="E72" s="63">
        <v>45959</v>
      </c>
      <c r="F72" s="57" t="s">
        <v>183</v>
      </c>
      <c r="G72" s="57" t="s">
        <v>58</v>
      </c>
      <c r="H72" s="66">
        <v>1500</v>
      </c>
      <c r="I72" s="66">
        <v>1500</v>
      </c>
      <c r="J72" s="66">
        <f t="shared" si="0"/>
        <v>75</v>
      </c>
    </row>
    <row r="73" spans="1:10" x14ac:dyDescent="0.25">
      <c r="A73" s="57">
        <v>286</v>
      </c>
      <c r="B73" s="57" t="s">
        <v>72</v>
      </c>
      <c r="C73" s="57" t="s">
        <v>73</v>
      </c>
      <c r="D73" s="57" t="s">
        <v>74</v>
      </c>
      <c r="E73" s="63">
        <v>45932</v>
      </c>
      <c r="F73" s="57" t="s">
        <v>184</v>
      </c>
      <c r="G73" s="57" t="s">
        <v>63</v>
      </c>
      <c r="H73" s="66">
        <v>1000</v>
      </c>
      <c r="I73" s="66">
        <v>1000</v>
      </c>
      <c r="J73" s="66">
        <f t="shared" si="0"/>
        <v>50</v>
      </c>
    </row>
    <row r="74" spans="1:10" x14ac:dyDescent="0.25">
      <c r="A74" s="57">
        <v>292</v>
      </c>
      <c r="B74" s="57" t="s">
        <v>68</v>
      </c>
      <c r="C74" s="57" t="s">
        <v>56</v>
      </c>
      <c r="D74" s="57" t="s">
        <v>61</v>
      </c>
      <c r="E74" s="63">
        <v>45944</v>
      </c>
      <c r="F74" s="57" t="s">
        <v>65</v>
      </c>
      <c r="G74" s="57" t="s">
        <v>58</v>
      </c>
      <c r="H74" s="66">
        <v>5000</v>
      </c>
      <c r="I74" s="66">
        <v>5000</v>
      </c>
      <c r="J74" s="66">
        <f t="shared" si="0"/>
        <v>250</v>
      </c>
    </row>
    <row r="75" spans="1:10" x14ac:dyDescent="0.25">
      <c r="A75" s="57">
        <v>293</v>
      </c>
      <c r="B75" s="57" t="s">
        <v>68</v>
      </c>
      <c r="C75" s="57" t="s">
        <v>56</v>
      </c>
      <c r="D75" s="57" t="s">
        <v>61</v>
      </c>
      <c r="E75" s="63">
        <v>45944</v>
      </c>
      <c r="F75" s="57" t="s">
        <v>65</v>
      </c>
      <c r="G75" s="57" t="s">
        <v>58</v>
      </c>
      <c r="H75" s="66">
        <v>3000</v>
      </c>
      <c r="I75" s="66">
        <v>3000</v>
      </c>
      <c r="J75" s="66">
        <f t="shared" si="0"/>
        <v>150</v>
      </c>
    </row>
    <row r="76" spans="1:10" x14ac:dyDescent="0.25">
      <c r="A76" s="57">
        <v>294</v>
      </c>
      <c r="B76" s="57" t="s">
        <v>185</v>
      </c>
      <c r="C76" s="57" t="s">
        <v>56</v>
      </c>
      <c r="D76" s="57" t="s">
        <v>61</v>
      </c>
      <c r="E76" s="63">
        <v>45944</v>
      </c>
      <c r="F76" s="57" t="s">
        <v>186</v>
      </c>
      <c r="G76" s="57" t="s">
        <v>58</v>
      </c>
      <c r="H76" s="66">
        <v>10000</v>
      </c>
      <c r="I76" s="66">
        <v>10000</v>
      </c>
      <c r="J76" s="66">
        <f t="shared" si="0"/>
        <v>500</v>
      </c>
    </row>
    <row r="77" spans="1:10" x14ac:dyDescent="0.25">
      <c r="A77" s="57">
        <v>299</v>
      </c>
      <c r="B77" s="57" t="s">
        <v>187</v>
      </c>
      <c r="C77" s="57" t="s">
        <v>56</v>
      </c>
      <c r="D77" s="57" t="s">
        <v>61</v>
      </c>
      <c r="E77" s="63">
        <v>45945</v>
      </c>
      <c r="F77" s="57" t="s">
        <v>69</v>
      </c>
      <c r="G77" s="57" t="s">
        <v>58</v>
      </c>
      <c r="H77" s="66">
        <v>10000</v>
      </c>
      <c r="I77" s="66">
        <v>10000</v>
      </c>
      <c r="J77" s="66">
        <f t="shared" si="0"/>
        <v>500</v>
      </c>
    </row>
    <row r="78" spans="1:10" x14ac:dyDescent="0.25">
      <c r="A78" s="57">
        <v>300</v>
      </c>
      <c r="B78" s="57" t="s">
        <v>188</v>
      </c>
      <c r="C78" s="57" t="s">
        <v>56</v>
      </c>
      <c r="D78" s="57" t="s">
        <v>50</v>
      </c>
      <c r="E78" s="63">
        <v>45945</v>
      </c>
      <c r="F78" s="57" t="s">
        <v>189</v>
      </c>
      <c r="G78" s="57" t="s">
        <v>58</v>
      </c>
      <c r="H78" s="66">
        <v>10000</v>
      </c>
      <c r="I78" s="66">
        <v>10000</v>
      </c>
      <c r="J78" s="66">
        <f t="shared" si="0"/>
        <v>500</v>
      </c>
    </row>
    <row r="79" spans="1:10" x14ac:dyDescent="0.25">
      <c r="A79" s="57">
        <v>301</v>
      </c>
      <c r="B79" s="57" t="s">
        <v>68</v>
      </c>
      <c r="C79" s="57" t="s">
        <v>56</v>
      </c>
      <c r="D79" s="57" t="s">
        <v>61</v>
      </c>
      <c r="E79" s="63">
        <v>45945</v>
      </c>
      <c r="F79" s="57" t="s">
        <v>190</v>
      </c>
      <c r="G79" s="57" t="s">
        <v>58</v>
      </c>
      <c r="H79" s="66">
        <v>5000</v>
      </c>
      <c r="I79" s="66">
        <v>5000</v>
      </c>
      <c r="J79" s="66">
        <f t="shared" si="0"/>
        <v>250</v>
      </c>
    </row>
    <row r="80" spans="1:10" x14ac:dyDescent="0.25">
      <c r="A80" s="57">
        <v>305</v>
      </c>
      <c r="B80" s="57" t="s">
        <v>68</v>
      </c>
      <c r="C80" s="57" t="s">
        <v>56</v>
      </c>
      <c r="D80" s="57" t="s">
        <v>61</v>
      </c>
      <c r="E80" s="63">
        <v>45946</v>
      </c>
      <c r="F80" s="57" t="s">
        <v>65</v>
      </c>
      <c r="G80" s="57" t="s">
        <v>58</v>
      </c>
      <c r="H80" s="66">
        <v>10000</v>
      </c>
      <c r="I80" s="66">
        <v>10000</v>
      </c>
      <c r="J80" s="66">
        <f t="shared" si="0"/>
        <v>500</v>
      </c>
    </row>
    <row r="81" spans="1:10" x14ac:dyDescent="0.25">
      <c r="A81" s="57">
        <v>306</v>
      </c>
      <c r="B81" s="57" t="s">
        <v>191</v>
      </c>
      <c r="C81" s="57" t="s">
        <v>56</v>
      </c>
      <c r="D81" s="57" t="s">
        <v>61</v>
      </c>
      <c r="E81" s="63">
        <v>45946</v>
      </c>
      <c r="F81" s="57" t="s">
        <v>192</v>
      </c>
      <c r="G81" s="57" t="s">
        <v>58</v>
      </c>
      <c r="H81" s="66">
        <v>10000</v>
      </c>
      <c r="I81" s="66">
        <v>10000</v>
      </c>
      <c r="J81" s="66">
        <f t="shared" ref="J81:J106" si="1">I81*5%</f>
        <v>500</v>
      </c>
    </row>
    <row r="82" spans="1:10" x14ac:dyDescent="0.25">
      <c r="A82" s="57">
        <v>307</v>
      </c>
      <c r="B82" s="57" t="s">
        <v>191</v>
      </c>
      <c r="C82" s="57" t="s">
        <v>56</v>
      </c>
      <c r="D82" s="57" t="s">
        <v>61</v>
      </c>
      <c r="E82" s="63">
        <v>45946</v>
      </c>
      <c r="F82" s="57" t="s">
        <v>192</v>
      </c>
      <c r="G82" s="57" t="s">
        <v>58</v>
      </c>
      <c r="H82" s="66">
        <v>5000</v>
      </c>
      <c r="I82" s="66">
        <v>5000</v>
      </c>
      <c r="J82" s="66">
        <f t="shared" si="1"/>
        <v>250</v>
      </c>
    </row>
    <row r="83" spans="1:10" x14ac:dyDescent="0.25">
      <c r="A83" s="57">
        <v>308</v>
      </c>
      <c r="B83" s="57" t="s">
        <v>187</v>
      </c>
      <c r="C83" s="57" t="s">
        <v>56</v>
      </c>
      <c r="D83" s="57" t="s">
        <v>61</v>
      </c>
      <c r="E83" s="63">
        <v>45946</v>
      </c>
      <c r="F83" s="57" t="s">
        <v>69</v>
      </c>
      <c r="G83" s="57" t="s">
        <v>58</v>
      </c>
      <c r="H83" s="66">
        <v>5000</v>
      </c>
      <c r="I83" s="66">
        <v>5000</v>
      </c>
      <c r="J83" s="66">
        <f t="shared" si="1"/>
        <v>250</v>
      </c>
    </row>
    <row r="84" spans="1:10" x14ac:dyDescent="0.25">
      <c r="A84" s="57">
        <v>311</v>
      </c>
      <c r="B84" s="57" t="s">
        <v>193</v>
      </c>
      <c r="C84" s="57" t="s">
        <v>194</v>
      </c>
      <c r="D84" s="57" t="s">
        <v>61</v>
      </c>
      <c r="E84" s="63">
        <v>45946</v>
      </c>
      <c r="F84" s="57" t="s">
        <v>195</v>
      </c>
      <c r="G84" s="57" t="s">
        <v>58</v>
      </c>
      <c r="H84" s="66">
        <v>57000</v>
      </c>
      <c r="I84" s="66">
        <v>57000</v>
      </c>
      <c r="J84" s="66">
        <f t="shared" si="1"/>
        <v>2850</v>
      </c>
    </row>
    <row r="85" spans="1:10" x14ac:dyDescent="0.25">
      <c r="A85" s="57">
        <v>312</v>
      </c>
      <c r="B85" s="57" t="s">
        <v>196</v>
      </c>
      <c r="C85" s="57" t="s">
        <v>197</v>
      </c>
      <c r="D85" s="57" t="s">
        <v>198</v>
      </c>
      <c r="E85" s="63">
        <v>45946</v>
      </c>
      <c r="F85" s="57" t="s">
        <v>199</v>
      </c>
      <c r="G85" s="57" t="s">
        <v>58</v>
      </c>
      <c r="H85" s="66">
        <v>10000</v>
      </c>
      <c r="I85" s="66">
        <v>10000</v>
      </c>
      <c r="J85" s="66">
        <f t="shared" si="1"/>
        <v>500</v>
      </c>
    </row>
    <row r="86" spans="1:10" x14ac:dyDescent="0.25">
      <c r="A86" s="57">
        <v>314</v>
      </c>
      <c r="B86" s="57" t="s">
        <v>200</v>
      </c>
      <c r="C86" s="57" t="s">
        <v>201</v>
      </c>
      <c r="D86" s="57" t="s">
        <v>61</v>
      </c>
      <c r="E86" s="63">
        <v>45947</v>
      </c>
      <c r="F86" s="57" t="s">
        <v>129</v>
      </c>
      <c r="G86" s="57" t="s">
        <v>58</v>
      </c>
      <c r="H86" s="66">
        <v>10000</v>
      </c>
      <c r="I86" s="66">
        <v>10000</v>
      </c>
      <c r="J86" s="66">
        <f t="shared" si="1"/>
        <v>500</v>
      </c>
    </row>
    <row r="87" spans="1:10" x14ac:dyDescent="0.25">
      <c r="A87" s="57">
        <v>315</v>
      </c>
      <c r="B87" s="57" t="s">
        <v>137</v>
      </c>
      <c r="C87" s="57" t="s">
        <v>138</v>
      </c>
      <c r="D87" s="57" t="s">
        <v>139</v>
      </c>
      <c r="E87" s="63">
        <v>45944</v>
      </c>
      <c r="F87" s="57" t="s">
        <v>202</v>
      </c>
      <c r="G87" s="57" t="s">
        <v>58</v>
      </c>
      <c r="H87" s="66">
        <v>27000</v>
      </c>
      <c r="I87" s="66">
        <v>27000</v>
      </c>
      <c r="J87" s="66">
        <f t="shared" si="1"/>
        <v>1350</v>
      </c>
    </row>
    <row r="88" spans="1:10" x14ac:dyDescent="0.25">
      <c r="A88" s="57">
        <v>317</v>
      </c>
      <c r="B88" s="57" t="s">
        <v>137</v>
      </c>
      <c r="C88" s="57" t="s">
        <v>138</v>
      </c>
      <c r="D88" s="57" t="s">
        <v>139</v>
      </c>
      <c r="E88" s="63">
        <v>45944</v>
      </c>
      <c r="F88" s="57" t="s">
        <v>203</v>
      </c>
      <c r="G88" s="57" t="s">
        <v>58</v>
      </c>
      <c r="H88" s="66">
        <v>5000</v>
      </c>
      <c r="I88" s="66">
        <v>5000</v>
      </c>
      <c r="J88" s="66">
        <f t="shared" si="1"/>
        <v>250</v>
      </c>
    </row>
    <row r="89" spans="1:10" x14ac:dyDescent="0.25">
      <c r="A89" s="57">
        <v>318</v>
      </c>
      <c r="B89" s="57" t="s">
        <v>204</v>
      </c>
      <c r="C89" s="57" t="s">
        <v>205</v>
      </c>
      <c r="D89" s="57" t="s">
        <v>61</v>
      </c>
      <c r="E89" s="63">
        <v>45957</v>
      </c>
      <c r="F89" s="57" t="s">
        <v>206</v>
      </c>
      <c r="G89" s="57" t="s">
        <v>58</v>
      </c>
      <c r="H89" s="66">
        <v>10000</v>
      </c>
      <c r="I89" s="66">
        <v>10000</v>
      </c>
      <c r="J89" s="66">
        <f t="shared" si="1"/>
        <v>500</v>
      </c>
    </row>
    <row r="90" spans="1:10" x14ac:dyDescent="0.25">
      <c r="A90" s="57">
        <v>319</v>
      </c>
      <c r="B90" s="57" t="s">
        <v>102</v>
      </c>
      <c r="C90" s="57" t="s">
        <v>103</v>
      </c>
      <c r="D90" s="57" t="s">
        <v>104</v>
      </c>
      <c r="E90" s="63">
        <v>45957</v>
      </c>
      <c r="F90" s="57" t="s">
        <v>88</v>
      </c>
      <c r="G90" s="57" t="s">
        <v>58</v>
      </c>
      <c r="H90" s="66">
        <v>300000</v>
      </c>
      <c r="I90" s="66">
        <v>300000</v>
      </c>
      <c r="J90" s="66">
        <f t="shared" si="1"/>
        <v>15000</v>
      </c>
    </row>
    <row r="91" spans="1:10" x14ac:dyDescent="0.25">
      <c r="A91" s="57">
        <v>320</v>
      </c>
      <c r="B91" s="57" t="s">
        <v>99</v>
      </c>
      <c r="C91" s="57" t="s">
        <v>100</v>
      </c>
      <c r="D91" s="57" t="s">
        <v>101</v>
      </c>
      <c r="E91" s="63">
        <v>45957</v>
      </c>
      <c r="F91" s="57" t="s">
        <v>88</v>
      </c>
      <c r="G91" s="57" t="s">
        <v>58</v>
      </c>
      <c r="H91" s="66">
        <v>300000</v>
      </c>
      <c r="I91" s="66">
        <v>300000</v>
      </c>
      <c r="J91" s="66">
        <f t="shared" si="1"/>
        <v>15000</v>
      </c>
    </row>
    <row r="92" spans="1:10" x14ac:dyDescent="0.25">
      <c r="A92" s="57">
        <v>321</v>
      </c>
      <c r="B92" s="57" t="s">
        <v>108</v>
      </c>
      <c r="C92" s="57" t="s">
        <v>109</v>
      </c>
      <c r="D92" s="57" t="s">
        <v>110</v>
      </c>
      <c r="E92" s="63">
        <v>45954</v>
      </c>
      <c r="F92" s="57" t="s">
        <v>88</v>
      </c>
      <c r="G92" s="57" t="s">
        <v>153</v>
      </c>
      <c r="H92" s="66">
        <v>13600</v>
      </c>
      <c r="I92" s="66">
        <v>299200</v>
      </c>
      <c r="J92" s="66">
        <f t="shared" si="1"/>
        <v>14960</v>
      </c>
    </row>
    <row r="93" spans="1:10" x14ac:dyDescent="0.25">
      <c r="A93" s="57">
        <v>322</v>
      </c>
      <c r="B93" s="57" t="s">
        <v>105</v>
      </c>
      <c r="C93" s="57" t="s">
        <v>106</v>
      </c>
      <c r="D93" s="57" t="s">
        <v>107</v>
      </c>
      <c r="E93" s="63">
        <v>45954</v>
      </c>
      <c r="F93" s="57" t="s">
        <v>88</v>
      </c>
      <c r="G93" s="57" t="s">
        <v>153</v>
      </c>
      <c r="H93" s="66">
        <v>13600</v>
      </c>
      <c r="I93" s="66">
        <v>299200</v>
      </c>
      <c r="J93" s="66">
        <f t="shared" si="1"/>
        <v>14960</v>
      </c>
    </row>
    <row r="94" spans="1:10" x14ac:dyDescent="0.25">
      <c r="A94" s="57">
        <v>324</v>
      </c>
      <c r="B94" s="57" t="s">
        <v>114</v>
      </c>
      <c r="C94" s="57" t="s">
        <v>115</v>
      </c>
      <c r="D94" s="57" t="s">
        <v>113</v>
      </c>
      <c r="E94" s="63">
        <v>45952</v>
      </c>
      <c r="F94" s="57" t="s">
        <v>88</v>
      </c>
      <c r="G94" s="57" t="s">
        <v>58</v>
      </c>
      <c r="H94" s="66">
        <v>300000</v>
      </c>
      <c r="I94" s="66">
        <v>300000</v>
      </c>
      <c r="J94" s="66">
        <f t="shared" si="1"/>
        <v>15000</v>
      </c>
    </row>
    <row r="95" spans="1:10" x14ac:dyDescent="0.25">
      <c r="A95" s="57">
        <v>325</v>
      </c>
      <c r="B95" s="57" t="s">
        <v>111</v>
      </c>
      <c r="C95" s="57" t="s">
        <v>112</v>
      </c>
      <c r="D95" s="57" t="s">
        <v>113</v>
      </c>
      <c r="E95" s="63">
        <v>45952</v>
      </c>
      <c r="F95" s="57" t="s">
        <v>88</v>
      </c>
      <c r="G95" s="57" t="s">
        <v>58</v>
      </c>
      <c r="H95" s="66">
        <v>300000</v>
      </c>
      <c r="I95" s="66">
        <v>300000</v>
      </c>
      <c r="J95" s="66">
        <f t="shared" si="1"/>
        <v>15000</v>
      </c>
    </row>
    <row r="96" spans="1:10" x14ac:dyDescent="0.25">
      <c r="A96" s="57">
        <v>327</v>
      </c>
      <c r="B96" s="57" t="s">
        <v>207</v>
      </c>
      <c r="C96" s="57"/>
      <c r="D96" s="57" t="s">
        <v>61</v>
      </c>
      <c r="E96" s="63">
        <v>45947</v>
      </c>
      <c r="F96" s="57" t="s">
        <v>202</v>
      </c>
      <c r="G96" s="57" t="s">
        <v>58</v>
      </c>
      <c r="H96" s="66">
        <v>40000</v>
      </c>
      <c r="I96" s="66">
        <v>40000</v>
      </c>
      <c r="J96" s="66">
        <f t="shared" si="1"/>
        <v>2000</v>
      </c>
    </row>
    <row r="97" spans="1:10" x14ac:dyDescent="0.25">
      <c r="A97" s="57">
        <v>332</v>
      </c>
      <c r="B97" s="57" t="s">
        <v>208</v>
      </c>
      <c r="C97" s="57"/>
      <c r="D97" s="57" t="s">
        <v>61</v>
      </c>
      <c r="E97" s="63">
        <v>45950</v>
      </c>
      <c r="F97" s="57" t="s">
        <v>69</v>
      </c>
      <c r="G97" s="57" t="s">
        <v>58</v>
      </c>
      <c r="H97" s="66">
        <v>15000</v>
      </c>
      <c r="I97" s="66">
        <v>15000</v>
      </c>
      <c r="J97" s="66">
        <f t="shared" si="1"/>
        <v>750</v>
      </c>
    </row>
    <row r="98" spans="1:10" x14ac:dyDescent="0.25">
      <c r="A98" s="57">
        <v>344</v>
      </c>
      <c r="B98" s="57" t="s">
        <v>68</v>
      </c>
      <c r="C98" s="57"/>
      <c r="D98" s="57" t="s">
        <v>61</v>
      </c>
      <c r="E98" s="63">
        <v>45952</v>
      </c>
      <c r="F98" s="57" t="s">
        <v>75</v>
      </c>
      <c r="G98" s="57" t="s">
        <v>58</v>
      </c>
      <c r="H98" s="66">
        <v>5000</v>
      </c>
      <c r="I98" s="66">
        <v>5000</v>
      </c>
      <c r="J98" s="66">
        <f t="shared" si="1"/>
        <v>250</v>
      </c>
    </row>
    <row r="99" spans="1:10" x14ac:dyDescent="0.25">
      <c r="A99" s="57">
        <v>353</v>
      </c>
      <c r="B99" s="57" t="s">
        <v>209</v>
      </c>
      <c r="C99" s="57"/>
      <c r="D99" s="57" t="s">
        <v>61</v>
      </c>
      <c r="E99" s="63">
        <v>45958</v>
      </c>
      <c r="F99" s="57" t="s">
        <v>75</v>
      </c>
      <c r="G99" s="57" t="s">
        <v>58</v>
      </c>
      <c r="H99" s="66">
        <v>5000</v>
      </c>
      <c r="I99" s="66">
        <v>5000</v>
      </c>
      <c r="J99" s="66">
        <f t="shared" si="1"/>
        <v>250</v>
      </c>
    </row>
    <row r="100" spans="1:10" x14ac:dyDescent="0.25">
      <c r="A100" s="57">
        <v>368</v>
      </c>
      <c r="B100" s="57" t="s">
        <v>68</v>
      </c>
      <c r="C100" s="57"/>
      <c r="D100" s="57" t="s">
        <v>61</v>
      </c>
      <c r="E100" s="63">
        <v>45960</v>
      </c>
      <c r="F100" s="57" t="s">
        <v>210</v>
      </c>
      <c r="G100" s="57" t="s">
        <v>58</v>
      </c>
      <c r="H100" s="66">
        <v>15000</v>
      </c>
      <c r="I100" s="66">
        <v>15000</v>
      </c>
      <c r="J100" s="66">
        <f t="shared" si="1"/>
        <v>750</v>
      </c>
    </row>
    <row r="101" spans="1:10" x14ac:dyDescent="0.25">
      <c r="A101" s="57">
        <v>371</v>
      </c>
      <c r="B101" s="57" t="s">
        <v>211</v>
      </c>
      <c r="C101" s="57" t="s">
        <v>212</v>
      </c>
      <c r="D101" s="57" t="s">
        <v>213</v>
      </c>
      <c r="E101" s="63">
        <v>45946</v>
      </c>
      <c r="F101" s="57" t="s">
        <v>214</v>
      </c>
      <c r="G101" s="57" t="s">
        <v>153</v>
      </c>
      <c r="H101" s="66">
        <v>9000</v>
      </c>
      <c r="I101" s="66">
        <v>18000</v>
      </c>
      <c r="J101" s="66">
        <f t="shared" si="1"/>
        <v>900</v>
      </c>
    </row>
    <row r="102" spans="1:10" x14ac:dyDescent="0.25">
      <c r="A102" s="70">
        <v>372</v>
      </c>
      <c r="B102" s="70" t="s">
        <v>96</v>
      </c>
      <c r="C102" s="70" t="s">
        <v>97</v>
      </c>
      <c r="D102" s="70" t="s">
        <v>98</v>
      </c>
      <c r="E102" s="71">
        <v>45960</v>
      </c>
      <c r="F102" s="70" t="s">
        <v>88</v>
      </c>
      <c r="G102" s="70" t="s">
        <v>58</v>
      </c>
      <c r="H102" s="72">
        <v>300000</v>
      </c>
      <c r="I102" s="72">
        <v>300000</v>
      </c>
      <c r="J102" s="66">
        <f t="shared" si="1"/>
        <v>15000</v>
      </c>
    </row>
    <row r="103" spans="1:10" x14ac:dyDescent="0.25">
      <c r="A103" s="57">
        <v>373</v>
      </c>
      <c r="B103" s="57" t="s">
        <v>92</v>
      </c>
      <c r="C103" s="57" t="s">
        <v>93</v>
      </c>
      <c r="D103" s="57" t="s">
        <v>94</v>
      </c>
      <c r="E103" s="63">
        <v>45960</v>
      </c>
      <c r="F103" s="57" t="s">
        <v>88</v>
      </c>
      <c r="G103" s="57" t="s">
        <v>58</v>
      </c>
      <c r="H103" s="66">
        <v>300000</v>
      </c>
      <c r="I103" s="66">
        <v>300000</v>
      </c>
      <c r="J103" s="66">
        <f t="shared" si="1"/>
        <v>15000</v>
      </c>
    </row>
    <row r="104" spans="1:10" s="58" customFormat="1" x14ac:dyDescent="0.25">
      <c r="A104" s="57">
        <v>374</v>
      </c>
      <c r="B104" s="57" t="s">
        <v>215</v>
      </c>
      <c r="C104" s="57" t="s">
        <v>216</v>
      </c>
      <c r="D104" s="57" t="s">
        <v>61</v>
      </c>
      <c r="E104" s="63">
        <v>45960</v>
      </c>
      <c r="F104" s="57" t="s">
        <v>217</v>
      </c>
      <c r="G104" s="57" t="s">
        <v>63</v>
      </c>
      <c r="H104" s="66">
        <v>30000</v>
      </c>
      <c r="I104" s="66">
        <v>30000</v>
      </c>
      <c r="J104" s="66">
        <f t="shared" si="1"/>
        <v>1500</v>
      </c>
    </row>
    <row r="105" spans="1:10" x14ac:dyDescent="0.25">
      <c r="A105" s="57">
        <v>375</v>
      </c>
      <c r="B105" s="57" t="s">
        <v>215</v>
      </c>
      <c r="C105" s="57" t="s">
        <v>216</v>
      </c>
      <c r="D105" s="57" t="s">
        <v>61</v>
      </c>
      <c r="E105" s="63">
        <v>45960</v>
      </c>
      <c r="F105" s="57" t="s">
        <v>217</v>
      </c>
      <c r="G105" s="57" t="s">
        <v>63</v>
      </c>
      <c r="H105" s="66">
        <v>30000</v>
      </c>
      <c r="I105" s="66">
        <v>30000</v>
      </c>
      <c r="J105" s="66">
        <f t="shared" si="1"/>
        <v>1500</v>
      </c>
    </row>
    <row r="106" spans="1:10" x14ac:dyDescent="0.25">
      <c r="A106" s="57">
        <v>384</v>
      </c>
      <c r="B106" s="57" t="s">
        <v>167</v>
      </c>
      <c r="C106" s="57" t="s">
        <v>168</v>
      </c>
      <c r="D106" s="57" t="s">
        <v>151</v>
      </c>
      <c r="E106" s="63">
        <v>45941</v>
      </c>
      <c r="F106" s="57" t="s">
        <v>218</v>
      </c>
      <c r="G106" s="57" t="s">
        <v>153</v>
      </c>
      <c r="H106" s="66">
        <v>9000</v>
      </c>
      <c r="I106" s="66">
        <v>36000</v>
      </c>
      <c r="J106" s="66">
        <f t="shared" si="1"/>
        <v>1800</v>
      </c>
    </row>
    <row r="107" spans="1:10" x14ac:dyDescent="0.25">
      <c r="A107" s="64" t="s">
        <v>219</v>
      </c>
      <c r="B107" s="64"/>
      <c r="C107" s="64"/>
      <c r="D107" s="64"/>
      <c r="E107" s="65"/>
      <c r="F107" s="64"/>
      <c r="G107" s="64"/>
      <c r="H107" s="67"/>
      <c r="I107" s="67">
        <f>SUBTOTAL(9,I16:I106)</f>
        <v>6941900</v>
      </c>
      <c r="J107" s="67">
        <f>SUBTOTAL(9,J16:J106)</f>
        <v>347095</v>
      </c>
    </row>
    <row r="108" spans="1:10" x14ac:dyDescent="0.25">
      <c r="A108" s="64" t="s">
        <v>220</v>
      </c>
      <c r="B108" s="64"/>
      <c r="C108" s="64"/>
      <c r="D108" s="64"/>
      <c r="E108" s="65"/>
      <c r="F108" s="64"/>
      <c r="G108" s="64"/>
      <c r="H108" s="67"/>
      <c r="I108" s="67"/>
      <c r="J108" s="67"/>
    </row>
    <row r="109" spans="1:10" x14ac:dyDescent="0.25">
      <c r="A109" s="57">
        <v>39</v>
      </c>
      <c r="B109" s="57" t="s">
        <v>221</v>
      </c>
      <c r="C109" s="57" t="s">
        <v>222</v>
      </c>
      <c r="D109" s="57" t="s">
        <v>223</v>
      </c>
      <c r="E109" s="63">
        <v>45931</v>
      </c>
      <c r="F109" s="57" t="s">
        <v>224</v>
      </c>
      <c r="G109" s="57" t="s">
        <v>58</v>
      </c>
      <c r="H109" s="66">
        <v>5000</v>
      </c>
      <c r="I109" s="66">
        <v>5000</v>
      </c>
      <c r="J109" s="66">
        <f t="shared" ref="J109:J147" si="2">I109*5%</f>
        <v>250</v>
      </c>
    </row>
    <row r="110" spans="1:10" x14ac:dyDescent="0.25">
      <c r="A110" s="57">
        <v>41</v>
      </c>
      <c r="B110" s="57" t="s">
        <v>225</v>
      </c>
      <c r="C110" s="57" t="s">
        <v>226</v>
      </c>
      <c r="D110" s="57" t="s">
        <v>223</v>
      </c>
      <c r="E110" s="63">
        <v>45947</v>
      </c>
      <c r="F110" s="57" t="s">
        <v>227</v>
      </c>
      <c r="G110" s="57" t="s">
        <v>63</v>
      </c>
      <c r="H110" s="66">
        <v>30000</v>
      </c>
      <c r="I110" s="66">
        <v>60000</v>
      </c>
      <c r="J110" s="66">
        <f t="shared" si="2"/>
        <v>3000</v>
      </c>
    </row>
    <row r="111" spans="1:10" x14ac:dyDescent="0.25">
      <c r="A111" s="57">
        <v>46</v>
      </c>
      <c r="B111" s="57" t="s">
        <v>228</v>
      </c>
      <c r="C111" s="57" t="s">
        <v>229</v>
      </c>
      <c r="D111" s="57" t="s">
        <v>230</v>
      </c>
      <c r="E111" s="63">
        <v>45950</v>
      </c>
      <c r="F111" s="57" t="s">
        <v>231</v>
      </c>
      <c r="G111" s="57" t="s">
        <v>63</v>
      </c>
      <c r="H111" s="66">
        <v>8000</v>
      </c>
      <c r="I111" s="66">
        <v>96000</v>
      </c>
      <c r="J111" s="66">
        <f t="shared" si="2"/>
        <v>4800</v>
      </c>
    </row>
    <row r="112" spans="1:10" x14ac:dyDescent="0.25">
      <c r="A112" s="57">
        <v>47</v>
      </c>
      <c r="B112" s="57" t="s">
        <v>228</v>
      </c>
      <c r="C112" s="57" t="s">
        <v>229</v>
      </c>
      <c r="D112" s="57" t="s">
        <v>230</v>
      </c>
      <c r="E112" s="63">
        <v>45950</v>
      </c>
      <c r="F112" s="57" t="s">
        <v>231</v>
      </c>
      <c r="G112" s="57" t="s">
        <v>63</v>
      </c>
      <c r="H112" s="66">
        <v>8000</v>
      </c>
      <c r="I112" s="66">
        <v>40000</v>
      </c>
      <c r="J112" s="66">
        <f t="shared" si="2"/>
        <v>2000</v>
      </c>
    </row>
    <row r="113" spans="1:10" x14ac:dyDescent="0.25">
      <c r="A113" s="57">
        <v>74</v>
      </c>
      <c r="B113" s="57" t="s">
        <v>232</v>
      </c>
      <c r="C113" s="57" t="s">
        <v>233</v>
      </c>
      <c r="D113" s="57" t="s">
        <v>234</v>
      </c>
      <c r="E113" s="63">
        <v>45954</v>
      </c>
      <c r="F113" s="57" t="s">
        <v>235</v>
      </c>
      <c r="G113" s="57" t="s">
        <v>58</v>
      </c>
      <c r="H113" s="66">
        <v>5000</v>
      </c>
      <c r="I113" s="66">
        <v>5000</v>
      </c>
      <c r="J113" s="66">
        <f t="shared" si="2"/>
        <v>250</v>
      </c>
    </row>
    <row r="114" spans="1:10" x14ac:dyDescent="0.25">
      <c r="A114" s="57">
        <v>75</v>
      </c>
      <c r="B114" s="57" t="s">
        <v>236</v>
      </c>
      <c r="C114" s="57" t="s">
        <v>237</v>
      </c>
      <c r="D114" s="57" t="s">
        <v>234</v>
      </c>
      <c r="E114" s="63">
        <v>45954</v>
      </c>
      <c r="F114" s="57" t="s">
        <v>238</v>
      </c>
      <c r="G114" s="57" t="s">
        <v>58</v>
      </c>
      <c r="H114" s="66">
        <v>5000</v>
      </c>
      <c r="I114" s="66">
        <v>5000</v>
      </c>
      <c r="J114" s="66">
        <f t="shared" si="2"/>
        <v>250</v>
      </c>
    </row>
    <row r="115" spans="1:10" x14ac:dyDescent="0.25">
      <c r="A115" s="57">
        <v>76</v>
      </c>
      <c r="B115" s="57" t="s">
        <v>239</v>
      </c>
      <c r="C115" s="57" t="s">
        <v>240</v>
      </c>
      <c r="D115" s="57" t="s">
        <v>234</v>
      </c>
      <c r="E115" s="63">
        <v>45954</v>
      </c>
      <c r="F115" s="57" t="s">
        <v>241</v>
      </c>
      <c r="G115" s="57" t="s">
        <v>58</v>
      </c>
      <c r="H115" s="66">
        <v>5000</v>
      </c>
      <c r="I115" s="66">
        <v>5000</v>
      </c>
      <c r="J115" s="66">
        <f t="shared" si="2"/>
        <v>250</v>
      </c>
    </row>
    <row r="116" spans="1:10" x14ac:dyDescent="0.25">
      <c r="A116" s="57">
        <v>77</v>
      </c>
      <c r="B116" s="57" t="s">
        <v>242</v>
      </c>
      <c r="C116" s="57" t="s">
        <v>243</v>
      </c>
      <c r="D116" s="57" t="s">
        <v>234</v>
      </c>
      <c r="E116" s="63">
        <v>45954</v>
      </c>
      <c r="F116" s="57" t="s">
        <v>244</v>
      </c>
      <c r="G116" s="57" t="s">
        <v>58</v>
      </c>
      <c r="H116" s="66">
        <v>5000</v>
      </c>
      <c r="I116" s="66">
        <v>5000</v>
      </c>
      <c r="J116" s="66">
        <f t="shared" si="2"/>
        <v>250</v>
      </c>
    </row>
    <row r="117" spans="1:10" x14ac:dyDescent="0.25">
      <c r="A117" s="57">
        <v>78</v>
      </c>
      <c r="B117" s="57" t="s">
        <v>245</v>
      </c>
      <c r="C117" s="57" t="s">
        <v>246</v>
      </c>
      <c r="D117" s="57" t="s">
        <v>234</v>
      </c>
      <c r="E117" s="63">
        <v>45954</v>
      </c>
      <c r="F117" s="57" t="s">
        <v>247</v>
      </c>
      <c r="G117" s="57" t="s">
        <v>58</v>
      </c>
      <c r="H117" s="66">
        <v>5000</v>
      </c>
      <c r="I117" s="66">
        <v>5000</v>
      </c>
      <c r="J117" s="66">
        <f t="shared" si="2"/>
        <v>250</v>
      </c>
    </row>
    <row r="118" spans="1:10" x14ac:dyDescent="0.25">
      <c r="A118" s="57">
        <v>89</v>
      </c>
      <c r="B118" s="57" t="s">
        <v>248</v>
      </c>
      <c r="C118" s="57" t="s">
        <v>249</v>
      </c>
      <c r="D118" s="57" t="s">
        <v>250</v>
      </c>
      <c r="E118" s="63">
        <v>45953</v>
      </c>
      <c r="F118" s="57" t="s">
        <v>238</v>
      </c>
      <c r="G118" s="57" t="s">
        <v>58</v>
      </c>
      <c r="H118" s="66">
        <v>5000</v>
      </c>
      <c r="I118" s="66">
        <v>5000</v>
      </c>
      <c r="J118" s="66">
        <f t="shared" si="2"/>
        <v>250</v>
      </c>
    </row>
    <row r="119" spans="1:10" x14ac:dyDescent="0.25">
      <c r="A119" s="57">
        <v>95</v>
      </c>
      <c r="B119" s="57" t="s">
        <v>251</v>
      </c>
      <c r="C119" s="57" t="s">
        <v>252</v>
      </c>
      <c r="D119" s="57" t="s">
        <v>253</v>
      </c>
      <c r="E119" s="63">
        <v>45950</v>
      </c>
      <c r="F119" s="57" t="s">
        <v>241</v>
      </c>
      <c r="G119" s="57" t="s">
        <v>58</v>
      </c>
      <c r="H119" s="66">
        <v>5000</v>
      </c>
      <c r="I119" s="66">
        <v>5000</v>
      </c>
      <c r="J119" s="66">
        <f t="shared" si="2"/>
        <v>250</v>
      </c>
    </row>
    <row r="120" spans="1:10" x14ac:dyDescent="0.25">
      <c r="A120" s="57">
        <v>96</v>
      </c>
      <c r="B120" s="57" t="s">
        <v>254</v>
      </c>
      <c r="C120" s="57" t="s">
        <v>255</v>
      </c>
      <c r="D120" s="57" t="s">
        <v>253</v>
      </c>
      <c r="E120" s="63">
        <v>45950</v>
      </c>
      <c r="F120" s="57" t="s">
        <v>244</v>
      </c>
      <c r="G120" s="57" t="s">
        <v>58</v>
      </c>
      <c r="H120" s="66">
        <v>5000</v>
      </c>
      <c r="I120" s="66">
        <v>5000</v>
      </c>
      <c r="J120" s="66">
        <f t="shared" si="2"/>
        <v>250</v>
      </c>
    </row>
    <row r="121" spans="1:10" x14ac:dyDescent="0.25">
      <c r="A121" s="57">
        <v>97</v>
      </c>
      <c r="B121" s="57" t="s">
        <v>256</v>
      </c>
      <c r="C121" s="57" t="s">
        <v>257</v>
      </c>
      <c r="D121" s="57" t="s">
        <v>253</v>
      </c>
      <c r="E121" s="63">
        <v>45950</v>
      </c>
      <c r="F121" s="57" t="s">
        <v>258</v>
      </c>
      <c r="G121" s="57" t="s">
        <v>58</v>
      </c>
      <c r="H121" s="66">
        <v>5000</v>
      </c>
      <c r="I121" s="66">
        <v>5000</v>
      </c>
      <c r="J121" s="66">
        <f t="shared" si="2"/>
        <v>250</v>
      </c>
    </row>
    <row r="122" spans="1:10" x14ac:dyDescent="0.25">
      <c r="A122" s="57">
        <v>98</v>
      </c>
      <c r="B122" s="57" t="s">
        <v>259</v>
      </c>
      <c r="C122" s="57" t="s">
        <v>260</v>
      </c>
      <c r="D122" s="57" t="s">
        <v>253</v>
      </c>
      <c r="E122" s="63">
        <v>45950</v>
      </c>
      <c r="F122" s="57" t="s">
        <v>247</v>
      </c>
      <c r="G122" s="57" t="s">
        <v>58</v>
      </c>
      <c r="H122" s="66">
        <v>5000</v>
      </c>
      <c r="I122" s="66">
        <v>5000</v>
      </c>
      <c r="J122" s="66">
        <f t="shared" si="2"/>
        <v>250</v>
      </c>
    </row>
    <row r="123" spans="1:10" x14ac:dyDescent="0.25">
      <c r="A123" s="57">
        <v>99</v>
      </c>
      <c r="B123" s="57" t="s">
        <v>261</v>
      </c>
      <c r="C123" s="57" t="s">
        <v>262</v>
      </c>
      <c r="D123" s="57" t="s">
        <v>263</v>
      </c>
      <c r="E123" s="63">
        <v>45952</v>
      </c>
      <c r="F123" s="57" t="s">
        <v>264</v>
      </c>
      <c r="G123" s="57" t="s">
        <v>58</v>
      </c>
      <c r="H123" s="66">
        <v>10000</v>
      </c>
      <c r="I123" s="66">
        <v>10000</v>
      </c>
      <c r="J123" s="66">
        <f t="shared" si="2"/>
        <v>500</v>
      </c>
    </row>
    <row r="124" spans="1:10" x14ac:dyDescent="0.25">
      <c r="A124" s="57">
        <v>111</v>
      </c>
      <c r="B124" s="57" t="s">
        <v>265</v>
      </c>
      <c r="C124" s="57" t="s">
        <v>266</v>
      </c>
      <c r="D124" s="57" t="s">
        <v>263</v>
      </c>
      <c r="E124" s="63">
        <v>45951</v>
      </c>
      <c r="F124" s="57" t="s">
        <v>267</v>
      </c>
      <c r="G124" s="57" t="s">
        <v>58</v>
      </c>
      <c r="H124" s="66">
        <v>15000</v>
      </c>
      <c r="I124" s="66">
        <v>15000</v>
      </c>
      <c r="J124" s="66">
        <f t="shared" si="2"/>
        <v>750</v>
      </c>
    </row>
    <row r="125" spans="1:10" x14ac:dyDescent="0.25">
      <c r="A125" s="57">
        <v>136</v>
      </c>
      <c r="B125" s="57" t="s">
        <v>268</v>
      </c>
      <c r="C125" s="57" t="s">
        <v>269</v>
      </c>
      <c r="D125" s="57" t="s">
        <v>270</v>
      </c>
      <c r="E125" s="63">
        <v>45945</v>
      </c>
      <c r="F125" s="57" t="s">
        <v>271</v>
      </c>
      <c r="G125" s="57" t="s">
        <v>58</v>
      </c>
      <c r="H125" s="66">
        <v>30000</v>
      </c>
      <c r="I125" s="66">
        <v>30000</v>
      </c>
      <c r="J125" s="66">
        <f t="shared" si="2"/>
        <v>1500</v>
      </c>
    </row>
    <row r="126" spans="1:10" x14ac:dyDescent="0.25">
      <c r="A126" s="57">
        <v>138.01</v>
      </c>
      <c r="B126" s="57" t="s">
        <v>272</v>
      </c>
      <c r="C126" s="57" t="s">
        <v>273</v>
      </c>
      <c r="D126" s="57" t="s">
        <v>263</v>
      </c>
      <c r="E126" s="63">
        <v>45931</v>
      </c>
      <c r="F126" s="57" t="s">
        <v>274</v>
      </c>
      <c r="G126" s="57" t="s">
        <v>58</v>
      </c>
      <c r="H126" s="66">
        <v>15000</v>
      </c>
      <c r="I126" s="66">
        <v>15000</v>
      </c>
      <c r="J126" s="66">
        <f t="shared" si="2"/>
        <v>750</v>
      </c>
    </row>
    <row r="127" spans="1:10" x14ac:dyDescent="0.25">
      <c r="A127" s="57">
        <v>138.02000000000001</v>
      </c>
      <c r="B127" s="57" t="s">
        <v>272</v>
      </c>
      <c r="C127" s="57" t="s">
        <v>273</v>
      </c>
      <c r="D127" s="57" t="s">
        <v>263</v>
      </c>
      <c r="E127" s="63">
        <v>45931</v>
      </c>
      <c r="F127" s="57" t="s">
        <v>274</v>
      </c>
      <c r="G127" s="57" t="s">
        <v>58</v>
      </c>
      <c r="H127" s="66">
        <v>15000</v>
      </c>
      <c r="I127" s="66">
        <v>15000</v>
      </c>
      <c r="J127" s="66">
        <f t="shared" si="2"/>
        <v>750</v>
      </c>
    </row>
    <row r="128" spans="1:10" x14ac:dyDescent="0.25">
      <c r="A128" s="57">
        <v>138.03</v>
      </c>
      <c r="B128" s="57" t="s">
        <v>272</v>
      </c>
      <c r="C128" s="57" t="s">
        <v>273</v>
      </c>
      <c r="D128" s="57" t="s">
        <v>263</v>
      </c>
      <c r="E128" s="63">
        <v>45931</v>
      </c>
      <c r="F128" s="57" t="s">
        <v>274</v>
      </c>
      <c r="G128" s="57" t="s">
        <v>58</v>
      </c>
      <c r="H128" s="66">
        <v>15000</v>
      </c>
      <c r="I128" s="66">
        <v>15000</v>
      </c>
      <c r="J128" s="66">
        <f t="shared" si="2"/>
        <v>750</v>
      </c>
    </row>
    <row r="129" spans="1:10" x14ac:dyDescent="0.25">
      <c r="A129" s="57">
        <v>138.04</v>
      </c>
      <c r="B129" s="57" t="s">
        <v>272</v>
      </c>
      <c r="C129" s="57" t="s">
        <v>273</v>
      </c>
      <c r="D129" s="57" t="s">
        <v>263</v>
      </c>
      <c r="E129" s="63">
        <v>45931</v>
      </c>
      <c r="F129" s="57" t="s">
        <v>274</v>
      </c>
      <c r="G129" s="57" t="s">
        <v>63</v>
      </c>
      <c r="H129" s="66">
        <v>15000</v>
      </c>
      <c r="I129" s="66">
        <v>30000</v>
      </c>
      <c r="J129" s="66">
        <f t="shared" si="2"/>
        <v>1500</v>
      </c>
    </row>
    <row r="130" spans="1:10" x14ac:dyDescent="0.25">
      <c r="A130" s="57">
        <v>138.05000000000001</v>
      </c>
      <c r="B130" s="57" t="s">
        <v>272</v>
      </c>
      <c r="C130" s="57" t="s">
        <v>273</v>
      </c>
      <c r="D130" s="57" t="s">
        <v>263</v>
      </c>
      <c r="E130" s="63">
        <v>45931</v>
      </c>
      <c r="F130" s="57" t="s">
        <v>274</v>
      </c>
      <c r="G130" s="57" t="s">
        <v>58</v>
      </c>
      <c r="H130" s="66">
        <v>15000</v>
      </c>
      <c r="I130" s="66">
        <v>15000</v>
      </c>
      <c r="J130" s="66">
        <f t="shared" si="2"/>
        <v>750</v>
      </c>
    </row>
    <row r="131" spans="1:10" x14ac:dyDescent="0.25">
      <c r="A131" s="57">
        <v>139</v>
      </c>
      <c r="B131" s="57" t="s">
        <v>272</v>
      </c>
      <c r="C131" s="57" t="s">
        <v>273</v>
      </c>
      <c r="D131" s="57" t="s">
        <v>263</v>
      </c>
      <c r="E131" s="63">
        <v>45931</v>
      </c>
      <c r="F131" s="57" t="s">
        <v>275</v>
      </c>
      <c r="G131" s="57" t="s">
        <v>58</v>
      </c>
      <c r="H131" s="66">
        <v>169000</v>
      </c>
      <c r="I131" s="66">
        <v>169000</v>
      </c>
      <c r="J131" s="66">
        <f t="shared" si="2"/>
        <v>8450</v>
      </c>
    </row>
    <row r="132" spans="1:10" x14ac:dyDescent="0.25">
      <c r="A132" s="57">
        <v>140.01</v>
      </c>
      <c r="B132" s="57" t="s">
        <v>276</v>
      </c>
      <c r="C132" s="57" t="s">
        <v>277</v>
      </c>
      <c r="D132" s="57" t="s">
        <v>278</v>
      </c>
      <c r="E132" s="63">
        <v>45932</v>
      </c>
      <c r="F132" s="57" t="s">
        <v>279</v>
      </c>
      <c r="G132" s="57" t="s">
        <v>63</v>
      </c>
      <c r="H132" s="66">
        <v>2500</v>
      </c>
      <c r="I132" s="66">
        <v>50000</v>
      </c>
      <c r="J132" s="66">
        <f t="shared" si="2"/>
        <v>2500</v>
      </c>
    </row>
    <row r="133" spans="1:10" x14ac:dyDescent="0.25">
      <c r="A133" s="57">
        <v>140.02000000000001</v>
      </c>
      <c r="B133" s="57" t="s">
        <v>276</v>
      </c>
      <c r="C133" s="57" t="s">
        <v>277</v>
      </c>
      <c r="D133" s="57" t="s">
        <v>278</v>
      </c>
      <c r="E133" s="63">
        <v>45932</v>
      </c>
      <c r="F133" s="57" t="s">
        <v>280</v>
      </c>
      <c r="G133" s="57" t="s">
        <v>63</v>
      </c>
      <c r="H133" s="66">
        <v>700</v>
      </c>
      <c r="I133" s="66">
        <v>11900</v>
      </c>
      <c r="J133" s="66">
        <f t="shared" si="2"/>
        <v>595</v>
      </c>
    </row>
    <row r="134" spans="1:10" x14ac:dyDescent="0.25">
      <c r="A134" s="57">
        <v>141</v>
      </c>
      <c r="B134" s="57" t="s">
        <v>281</v>
      </c>
      <c r="C134" s="57" t="s">
        <v>282</v>
      </c>
      <c r="D134" s="57" t="s">
        <v>278</v>
      </c>
      <c r="E134" s="63">
        <v>45933</v>
      </c>
      <c r="F134" s="57" t="s">
        <v>283</v>
      </c>
      <c r="G134" s="57" t="s">
        <v>58</v>
      </c>
      <c r="H134" s="66">
        <v>30000</v>
      </c>
      <c r="I134" s="66">
        <v>30000</v>
      </c>
      <c r="J134" s="66">
        <f t="shared" si="2"/>
        <v>1500</v>
      </c>
    </row>
    <row r="135" spans="1:10" x14ac:dyDescent="0.25">
      <c r="A135" s="57">
        <v>142</v>
      </c>
      <c r="B135" s="57" t="s">
        <v>284</v>
      </c>
      <c r="C135" s="57" t="s">
        <v>285</v>
      </c>
      <c r="D135" s="57" t="s">
        <v>278</v>
      </c>
      <c r="E135" s="63">
        <v>45933</v>
      </c>
      <c r="F135" s="57" t="s">
        <v>286</v>
      </c>
      <c r="G135" s="57" t="s">
        <v>58</v>
      </c>
      <c r="H135" s="66">
        <v>30000</v>
      </c>
      <c r="I135" s="66">
        <v>30000</v>
      </c>
      <c r="J135" s="66">
        <f t="shared" si="2"/>
        <v>1500</v>
      </c>
    </row>
    <row r="136" spans="1:10" x14ac:dyDescent="0.25">
      <c r="A136" s="57">
        <v>148.01</v>
      </c>
      <c r="B136" s="57" t="s">
        <v>287</v>
      </c>
      <c r="C136" s="57" t="s">
        <v>288</v>
      </c>
      <c r="D136" s="57" t="s">
        <v>289</v>
      </c>
      <c r="E136" s="63">
        <v>45940</v>
      </c>
      <c r="F136" s="57" t="s">
        <v>290</v>
      </c>
      <c r="G136" s="57" t="s">
        <v>58</v>
      </c>
      <c r="H136" s="66">
        <v>20000</v>
      </c>
      <c r="I136" s="66">
        <v>20000</v>
      </c>
      <c r="J136" s="66">
        <f t="shared" si="2"/>
        <v>1000</v>
      </c>
    </row>
    <row r="137" spans="1:10" x14ac:dyDescent="0.25">
      <c r="A137" s="57">
        <v>148.02000000000001</v>
      </c>
      <c r="B137" s="57" t="s">
        <v>287</v>
      </c>
      <c r="C137" s="57" t="s">
        <v>288</v>
      </c>
      <c r="D137" s="57" t="s">
        <v>289</v>
      </c>
      <c r="E137" s="63">
        <v>45940</v>
      </c>
      <c r="F137" s="57" t="s">
        <v>291</v>
      </c>
      <c r="G137" s="57" t="s">
        <v>58</v>
      </c>
      <c r="H137" s="66">
        <v>5000</v>
      </c>
      <c r="I137" s="66">
        <v>5000</v>
      </c>
      <c r="J137" s="66">
        <f t="shared" si="2"/>
        <v>250</v>
      </c>
    </row>
    <row r="138" spans="1:10" x14ac:dyDescent="0.25">
      <c r="A138" s="57">
        <v>151</v>
      </c>
      <c r="B138" s="57" t="s">
        <v>292</v>
      </c>
      <c r="C138" s="57" t="s">
        <v>293</v>
      </c>
      <c r="D138" s="57" t="s">
        <v>223</v>
      </c>
      <c r="E138" s="63">
        <v>45951</v>
      </c>
      <c r="F138" s="57" t="s">
        <v>182</v>
      </c>
      <c r="G138" s="57" t="s">
        <v>58</v>
      </c>
      <c r="H138" s="66">
        <v>5000</v>
      </c>
      <c r="I138" s="66">
        <v>5000</v>
      </c>
      <c r="J138" s="66">
        <f t="shared" si="2"/>
        <v>250</v>
      </c>
    </row>
    <row r="139" spans="1:10" x14ac:dyDescent="0.25">
      <c r="A139" s="57">
        <v>175</v>
      </c>
      <c r="B139" s="57" t="s">
        <v>294</v>
      </c>
      <c r="C139" s="57" t="s">
        <v>295</v>
      </c>
      <c r="D139" s="57" t="s">
        <v>223</v>
      </c>
      <c r="E139" s="63">
        <v>45958</v>
      </c>
      <c r="F139" s="57" t="s">
        <v>296</v>
      </c>
      <c r="G139" s="57" t="s">
        <v>58</v>
      </c>
      <c r="H139" s="66">
        <v>300000</v>
      </c>
      <c r="I139" s="66">
        <v>300000</v>
      </c>
      <c r="J139" s="66">
        <f t="shared" si="2"/>
        <v>15000</v>
      </c>
    </row>
    <row r="140" spans="1:10" x14ac:dyDescent="0.25">
      <c r="A140" s="57">
        <v>177</v>
      </c>
      <c r="B140" s="57" t="s">
        <v>297</v>
      </c>
      <c r="C140" s="57" t="s">
        <v>298</v>
      </c>
      <c r="D140" s="57" t="s">
        <v>278</v>
      </c>
      <c r="E140" s="63">
        <v>45958</v>
      </c>
      <c r="F140" s="57" t="s">
        <v>296</v>
      </c>
      <c r="G140" s="57" t="s">
        <v>58</v>
      </c>
      <c r="H140" s="66">
        <v>300000</v>
      </c>
      <c r="I140" s="66">
        <v>300000</v>
      </c>
      <c r="J140" s="66">
        <f t="shared" si="2"/>
        <v>15000</v>
      </c>
    </row>
    <row r="141" spans="1:10" x14ac:dyDescent="0.25">
      <c r="A141" s="57">
        <v>179</v>
      </c>
      <c r="B141" s="57" t="s">
        <v>299</v>
      </c>
      <c r="C141" s="57" t="s">
        <v>56</v>
      </c>
      <c r="D141" s="57" t="s">
        <v>300</v>
      </c>
      <c r="E141" s="63">
        <v>45958</v>
      </c>
      <c r="F141" s="57" t="s">
        <v>301</v>
      </c>
      <c r="G141" s="57" t="s">
        <v>58</v>
      </c>
      <c r="H141" s="66">
        <v>450000</v>
      </c>
      <c r="I141" s="66">
        <v>450000</v>
      </c>
      <c r="J141" s="66">
        <f t="shared" si="2"/>
        <v>22500</v>
      </c>
    </row>
    <row r="142" spans="1:10" x14ac:dyDescent="0.25">
      <c r="A142" s="57">
        <v>181</v>
      </c>
      <c r="B142" s="57" t="s">
        <v>302</v>
      </c>
      <c r="C142" s="57" t="s">
        <v>303</v>
      </c>
      <c r="D142" s="57" t="s">
        <v>223</v>
      </c>
      <c r="E142" s="63">
        <v>45937</v>
      </c>
      <c r="F142" s="57" t="s">
        <v>304</v>
      </c>
      <c r="G142" s="57" t="s">
        <v>58</v>
      </c>
      <c r="H142" s="66">
        <v>100000</v>
      </c>
      <c r="I142" s="66">
        <v>100000</v>
      </c>
      <c r="J142" s="66">
        <f t="shared" si="2"/>
        <v>5000</v>
      </c>
    </row>
    <row r="143" spans="1:10" x14ac:dyDescent="0.25">
      <c r="A143" s="57">
        <v>182</v>
      </c>
      <c r="B143" s="57" t="s">
        <v>302</v>
      </c>
      <c r="C143" s="57" t="s">
        <v>303</v>
      </c>
      <c r="D143" s="57" t="s">
        <v>223</v>
      </c>
      <c r="E143" s="63">
        <v>45937</v>
      </c>
      <c r="F143" s="57" t="s">
        <v>305</v>
      </c>
      <c r="G143" s="57" t="s">
        <v>58</v>
      </c>
      <c r="H143" s="66">
        <v>10000</v>
      </c>
      <c r="I143" s="66">
        <v>10000</v>
      </c>
      <c r="J143" s="66">
        <f t="shared" si="2"/>
        <v>500</v>
      </c>
    </row>
    <row r="144" spans="1:10" x14ac:dyDescent="0.25">
      <c r="A144" s="57">
        <v>183</v>
      </c>
      <c r="B144" s="57" t="s">
        <v>306</v>
      </c>
      <c r="C144" s="57" t="s">
        <v>307</v>
      </c>
      <c r="D144" s="57" t="s">
        <v>263</v>
      </c>
      <c r="E144" s="63">
        <v>45939</v>
      </c>
      <c r="F144" s="57" t="s">
        <v>308</v>
      </c>
      <c r="G144" s="57" t="s">
        <v>58</v>
      </c>
      <c r="H144" s="66">
        <v>20000</v>
      </c>
      <c r="I144" s="66">
        <v>20000</v>
      </c>
      <c r="J144" s="66">
        <f t="shared" si="2"/>
        <v>1000</v>
      </c>
    </row>
    <row r="145" spans="1:10" x14ac:dyDescent="0.25">
      <c r="A145" s="57">
        <v>198</v>
      </c>
      <c r="B145" s="57" t="s">
        <v>309</v>
      </c>
      <c r="C145" s="57" t="s">
        <v>310</v>
      </c>
      <c r="D145" s="57" t="s">
        <v>223</v>
      </c>
      <c r="E145" s="63">
        <v>45957</v>
      </c>
      <c r="F145" s="57" t="s">
        <v>182</v>
      </c>
      <c r="G145" s="57" t="s">
        <v>58</v>
      </c>
      <c r="H145" s="66">
        <v>4000</v>
      </c>
      <c r="I145" s="66">
        <v>4000</v>
      </c>
      <c r="J145" s="66">
        <f t="shared" si="2"/>
        <v>200</v>
      </c>
    </row>
    <row r="146" spans="1:10" x14ac:dyDescent="0.25">
      <c r="A146" s="57">
        <v>201</v>
      </c>
      <c r="B146" s="57" t="s">
        <v>311</v>
      </c>
      <c r="C146" s="57" t="s">
        <v>312</v>
      </c>
      <c r="D146" s="57" t="s">
        <v>223</v>
      </c>
      <c r="E146" s="63">
        <v>45957</v>
      </c>
      <c r="F146" s="57" t="s">
        <v>313</v>
      </c>
      <c r="G146" s="57" t="s">
        <v>58</v>
      </c>
      <c r="H146" s="66">
        <v>22500</v>
      </c>
      <c r="I146" s="66">
        <v>22500</v>
      </c>
      <c r="J146" s="66">
        <f t="shared" si="2"/>
        <v>1125</v>
      </c>
    </row>
    <row r="147" spans="1:10" x14ac:dyDescent="0.25">
      <c r="A147" s="57">
        <v>207</v>
      </c>
      <c r="B147" s="57" t="s">
        <v>314</v>
      </c>
      <c r="C147" s="57" t="s">
        <v>56</v>
      </c>
      <c r="D147" s="57" t="s">
        <v>223</v>
      </c>
      <c r="E147" s="63">
        <v>45958</v>
      </c>
      <c r="F147" s="57" t="s">
        <v>315</v>
      </c>
      <c r="G147" s="57" t="s">
        <v>63</v>
      </c>
      <c r="H147" s="66">
        <v>10000</v>
      </c>
      <c r="I147" s="66">
        <v>200000</v>
      </c>
      <c r="J147" s="66">
        <f t="shared" si="2"/>
        <v>10000</v>
      </c>
    </row>
    <row r="148" spans="1:10" x14ac:dyDescent="0.25">
      <c r="A148" s="64" t="s">
        <v>316</v>
      </c>
      <c r="B148" s="64"/>
      <c r="C148" s="64"/>
      <c r="D148" s="64"/>
      <c r="E148" s="65"/>
      <c r="F148" s="64"/>
      <c r="G148" s="64"/>
      <c r="H148" s="67"/>
      <c r="I148" s="67">
        <f>SUBTOTAL(9,I109:I147)</f>
        <v>2123400</v>
      </c>
      <c r="J148" s="67">
        <f>SUBTOTAL(9,J109:J147)</f>
        <v>106170</v>
      </c>
    </row>
    <row r="149" spans="1:10" x14ac:dyDescent="0.25">
      <c r="A149" s="64" t="s">
        <v>317</v>
      </c>
      <c r="B149" s="64"/>
      <c r="C149" s="64"/>
      <c r="D149" s="64"/>
      <c r="E149" s="65"/>
      <c r="F149" s="64"/>
      <c r="G149" s="64"/>
      <c r="H149" s="67"/>
      <c r="I149" s="67"/>
      <c r="J149" s="67"/>
    </row>
    <row r="150" spans="1:10" x14ac:dyDescent="0.25">
      <c r="A150" s="57">
        <v>10</v>
      </c>
      <c r="B150" s="57" t="s">
        <v>318</v>
      </c>
      <c r="C150" s="57" t="s">
        <v>319</v>
      </c>
      <c r="D150" s="57" t="s">
        <v>50</v>
      </c>
      <c r="E150" s="63">
        <v>45944</v>
      </c>
      <c r="F150" s="57" t="s">
        <v>320</v>
      </c>
      <c r="G150" s="57" t="s">
        <v>58</v>
      </c>
      <c r="H150" s="66">
        <v>8000</v>
      </c>
      <c r="I150" s="66">
        <v>8000</v>
      </c>
      <c r="J150" s="66">
        <f t="shared" ref="J150:J205" si="3">I150*5%</f>
        <v>400</v>
      </c>
    </row>
    <row r="151" spans="1:10" x14ac:dyDescent="0.25">
      <c r="A151" s="57">
        <v>11</v>
      </c>
      <c r="B151" s="57" t="s">
        <v>321</v>
      </c>
      <c r="C151" s="57" t="s">
        <v>322</v>
      </c>
      <c r="D151" s="57" t="s">
        <v>50</v>
      </c>
      <c r="E151" s="63">
        <v>45944</v>
      </c>
      <c r="F151" s="57" t="s">
        <v>320</v>
      </c>
      <c r="G151" s="57" t="s">
        <v>58</v>
      </c>
      <c r="H151" s="66">
        <v>15000</v>
      </c>
      <c r="I151" s="66">
        <v>15000</v>
      </c>
      <c r="J151" s="66">
        <f t="shared" si="3"/>
        <v>750</v>
      </c>
    </row>
    <row r="152" spans="1:10" x14ac:dyDescent="0.25">
      <c r="A152" s="57">
        <v>12</v>
      </c>
      <c r="B152" s="57" t="s">
        <v>323</v>
      </c>
      <c r="C152" s="57" t="s">
        <v>324</v>
      </c>
      <c r="D152" s="57" t="s">
        <v>50</v>
      </c>
      <c r="E152" s="63">
        <v>45943</v>
      </c>
      <c r="F152" s="57" t="s">
        <v>325</v>
      </c>
      <c r="G152" s="57" t="s">
        <v>58</v>
      </c>
      <c r="H152" s="66">
        <v>35000</v>
      </c>
      <c r="I152" s="66">
        <v>35000</v>
      </c>
      <c r="J152" s="66">
        <f t="shared" si="3"/>
        <v>1750</v>
      </c>
    </row>
    <row r="153" spans="1:10" x14ac:dyDescent="0.25">
      <c r="A153" s="57">
        <v>13</v>
      </c>
      <c r="B153" s="57" t="s">
        <v>326</v>
      </c>
      <c r="C153" s="57" t="s">
        <v>327</v>
      </c>
      <c r="D153" s="57" t="s">
        <v>50</v>
      </c>
      <c r="E153" s="63">
        <v>45944</v>
      </c>
      <c r="F153" s="57" t="s">
        <v>328</v>
      </c>
      <c r="G153" s="57" t="s">
        <v>63</v>
      </c>
      <c r="H153" s="66">
        <v>1300</v>
      </c>
      <c r="I153" s="66">
        <v>9100</v>
      </c>
      <c r="J153" s="66">
        <f t="shared" si="3"/>
        <v>455</v>
      </c>
    </row>
    <row r="154" spans="1:10" x14ac:dyDescent="0.25">
      <c r="A154" s="57">
        <v>14</v>
      </c>
      <c r="B154" s="57" t="s">
        <v>329</v>
      </c>
      <c r="C154" s="57" t="s">
        <v>330</v>
      </c>
      <c r="D154" s="57" t="s">
        <v>50</v>
      </c>
      <c r="E154" s="63">
        <v>45945</v>
      </c>
      <c r="F154" s="57" t="s">
        <v>331</v>
      </c>
      <c r="G154" s="57" t="s">
        <v>58</v>
      </c>
      <c r="H154" s="66">
        <v>30000</v>
      </c>
      <c r="I154" s="66">
        <v>30000</v>
      </c>
      <c r="J154" s="66">
        <f t="shared" si="3"/>
        <v>1500</v>
      </c>
    </row>
    <row r="155" spans="1:10" x14ac:dyDescent="0.25">
      <c r="A155" s="57">
        <v>15</v>
      </c>
      <c r="B155" s="57" t="s">
        <v>329</v>
      </c>
      <c r="C155" s="57" t="s">
        <v>330</v>
      </c>
      <c r="D155" s="57" t="s">
        <v>50</v>
      </c>
      <c r="E155" s="63">
        <v>45944</v>
      </c>
      <c r="F155" s="57" t="s">
        <v>331</v>
      </c>
      <c r="G155" s="57" t="s">
        <v>58</v>
      </c>
      <c r="H155" s="66">
        <v>15000</v>
      </c>
      <c r="I155" s="66">
        <v>15000</v>
      </c>
      <c r="J155" s="66">
        <f t="shared" si="3"/>
        <v>750</v>
      </c>
    </row>
    <row r="156" spans="1:10" x14ac:dyDescent="0.25">
      <c r="A156" s="57">
        <v>27</v>
      </c>
      <c r="B156" s="57" t="s">
        <v>332</v>
      </c>
      <c r="C156" s="57" t="s">
        <v>333</v>
      </c>
      <c r="D156" s="57" t="s">
        <v>334</v>
      </c>
      <c r="E156" s="63">
        <v>45934</v>
      </c>
      <c r="F156" s="57" t="s">
        <v>335</v>
      </c>
      <c r="G156" s="57" t="s">
        <v>58</v>
      </c>
      <c r="H156" s="66">
        <v>60000</v>
      </c>
      <c r="I156" s="66">
        <v>60000</v>
      </c>
      <c r="J156" s="66">
        <f t="shared" si="3"/>
        <v>3000</v>
      </c>
    </row>
    <row r="157" spans="1:10" x14ac:dyDescent="0.25">
      <c r="A157" s="57">
        <v>31</v>
      </c>
      <c r="B157" s="57" t="s">
        <v>336</v>
      </c>
      <c r="C157" s="57" t="s">
        <v>337</v>
      </c>
      <c r="D157" s="57" t="s">
        <v>338</v>
      </c>
      <c r="E157" s="63">
        <v>45941</v>
      </c>
      <c r="F157" s="57" t="s">
        <v>339</v>
      </c>
      <c r="G157" s="57" t="s">
        <v>58</v>
      </c>
      <c r="H157" s="66">
        <v>30000</v>
      </c>
      <c r="I157" s="66">
        <v>30000</v>
      </c>
      <c r="J157" s="66">
        <f t="shared" si="3"/>
        <v>1500</v>
      </c>
    </row>
    <row r="158" spans="1:10" x14ac:dyDescent="0.25">
      <c r="A158" s="57">
        <v>34</v>
      </c>
      <c r="B158" s="57" t="s">
        <v>340</v>
      </c>
      <c r="C158" s="57" t="s">
        <v>341</v>
      </c>
      <c r="D158" s="57" t="s">
        <v>334</v>
      </c>
      <c r="E158" s="63">
        <v>45948</v>
      </c>
      <c r="F158" s="57" t="s">
        <v>125</v>
      </c>
      <c r="G158" s="57" t="s">
        <v>342</v>
      </c>
      <c r="H158" s="66">
        <v>1000</v>
      </c>
      <c r="I158" s="66">
        <v>6000</v>
      </c>
      <c r="J158" s="66">
        <f t="shared" si="3"/>
        <v>300</v>
      </c>
    </row>
    <row r="159" spans="1:10" x14ac:dyDescent="0.25">
      <c r="A159" s="57">
        <v>35</v>
      </c>
      <c r="B159" s="57" t="s">
        <v>343</v>
      </c>
      <c r="C159" s="57" t="s">
        <v>344</v>
      </c>
      <c r="D159" s="57" t="s">
        <v>345</v>
      </c>
      <c r="E159" s="63">
        <v>45944</v>
      </c>
      <c r="F159" s="57" t="s">
        <v>125</v>
      </c>
      <c r="G159" s="57" t="s">
        <v>342</v>
      </c>
      <c r="H159" s="66">
        <v>1500</v>
      </c>
      <c r="I159" s="66">
        <v>4500</v>
      </c>
      <c r="J159" s="66">
        <f t="shared" si="3"/>
        <v>225</v>
      </c>
    </row>
    <row r="160" spans="1:10" x14ac:dyDescent="0.25">
      <c r="A160" s="57">
        <v>36</v>
      </c>
      <c r="B160" s="57" t="s">
        <v>343</v>
      </c>
      <c r="C160" s="57" t="s">
        <v>344</v>
      </c>
      <c r="D160" s="57" t="s">
        <v>345</v>
      </c>
      <c r="E160" s="63">
        <v>45946</v>
      </c>
      <c r="F160" s="57" t="s">
        <v>125</v>
      </c>
      <c r="G160" s="57" t="s">
        <v>342</v>
      </c>
      <c r="H160" s="66">
        <v>1500</v>
      </c>
      <c r="I160" s="66">
        <v>3000</v>
      </c>
      <c r="J160" s="66">
        <f t="shared" si="3"/>
        <v>150</v>
      </c>
    </row>
    <row r="161" spans="1:10" x14ac:dyDescent="0.25">
      <c r="A161" s="57">
        <v>37</v>
      </c>
      <c r="B161" s="57" t="s">
        <v>340</v>
      </c>
      <c r="C161" s="57" t="s">
        <v>341</v>
      </c>
      <c r="D161" s="57" t="s">
        <v>334</v>
      </c>
      <c r="E161" s="63">
        <v>45950</v>
      </c>
      <c r="F161" s="57" t="s">
        <v>346</v>
      </c>
      <c r="G161" s="57" t="s">
        <v>58</v>
      </c>
      <c r="H161" s="66">
        <v>5000</v>
      </c>
      <c r="I161" s="66">
        <v>5000</v>
      </c>
      <c r="J161" s="66">
        <f t="shared" si="3"/>
        <v>250</v>
      </c>
    </row>
    <row r="162" spans="1:10" x14ac:dyDescent="0.25">
      <c r="A162" s="57">
        <v>38</v>
      </c>
      <c r="B162" s="57" t="s">
        <v>340</v>
      </c>
      <c r="C162" s="57" t="s">
        <v>341</v>
      </c>
      <c r="D162" s="57" t="s">
        <v>334</v>
      </c>
      <c r="E162" s="63">
        <v>45950</v>
      </c>
      <c r="F162" s="57" t="s">
        <v>320</v>
      </c>
      <c r="G162" s="57" t="s">
        <v>58</v>
      </c>
      <c r="H162" s="66">
        <v>5000</v>
      </c>
      <c r="I162" s="66">
        <v>5000</v>
      </c>
      <c r="J162" s="66">
        <f t="shared" si="3"/>
        <v>250</v>
      </c>
    </row>
    <row r="163" spans="1:10" x14ac:dyDescent="0.25">
      <c r="A163" s="57">
        <v>39</v>
      </c>
      <c r="B163" s="57" t="s">
        <v>340</v>
      </c>
      <c r="C163" s="57" t="s">
        <v>341</v>
      </c>
      <c r="D163" s="57" t="s">
        <v>334</v>
      </c>
      <c r="E163" s="63">
        <v>45952</v>
      </c>
      <c r="F163" s="57" t="s">
        <v>347</v>
      </c>
      <c r="G163" s="57" t="s">
        <v>58</v>
      </c>
      <c r="H163" s="66">
        <v>15000</v>
      </c>
      <c r="I163" s="66">
        <v>15000</v>
      </c>
      <c r="J163" s="66">
        <f t="shared" si="3"/>
        <v>750</v>
      </c>
    </row>
    <row r="164" spans="1:10" x14ac:dyDescent="0.25">
      <c r="A164" s="57">
        <v>42</v>
      </c>
      <c r="B164" s="57" t="s">
        <v>348</v>
      </c>
      <c r="C164" s="57" t="s">
        <v>349</v>
      </c>
      <c r="D164" s="57" t="s">
        <v>350</v>
      </c>
      <c r="E164" s="63">
        <v>45954</v>
      </c>
      <c r="F164" s="57" t="s">
        <v>125</v>
      </c>
      <c r="G164" s="57" t="s">
        <v>342</v>
      </c>
      <c r="H164" s="66">
        <v>1000</v>
      </c>
      <c r="I164" s="66">
        <v>3000</v>
      </c>
      <c r="J164" s="66">
        <f t="shared" si="3"/>
        <v>150</v>
      </c>
    </row>
    <row r="165" spans="1:10" x14ac:dyDescent="0.25">
      <c r="A165" s="57">
        <v>47</v>
      </c>
      <c r="B165" s="57" t="s">
        <v>351</v>
      </c>
      <c r="C165" s="57" t="s">
        <v>352</v>
      </c>
      <c r="D165" s="57" t="s">
        <v>353</v>
      </c>
      <c r="E165" s="63">
        <v>45946</v>
      </c>
      <c r="F165" s="57" t="s">
        <v>320</v>
      </c>
      <c r="G165" s="57" t="s">
        <v>58</v>
      </c>
      <c r="H165" s="66">
        <v>20000</v>
      </c>
      <c r="I165" s="66">
        <v>20000</v>
      </c>
      <c r="J165" s="66">
        <f t="shared" si="3"/>
        <v>1000</v>
      </c>
    </row>
    <row r="166" spans="1:10" x14ac:dyDescent="0.25">
      <c r="A166" s="57">
        <v>50</v>
      </c>
      <c r="B166" s="57" t="s">
        <v>354</v>
      </c>
      <c r="C166" s="57" t="s">
        <v>355</v>
      </c>
      <c r="D166" s="57" t="s">
        <v>356</v>
      </c>
      <c r="E166" s="63">
        <v>45937</v>
      </c>
      <c r="F166" s="57" t="s">
        <v>357</v>
      </c>
      <c r="G166" s="57" t="s">
        <v>58</v>
      </c>
      <c r="H166" s="66">
        <v>40000</v>
      </c>
      <c r="I166" s="66">
        <v>40000</v>
      </c>
      <c r="J166" s="66">
        <f t="shared" si="3"/>
        <v>2000</v>
      </c>
    </row>
    <row r="167" spans="1:10" x14ac:dyDescent="0.25">
      <c r="A167" s="57">
        <v>51</v>
      </c>
      <c r="B167" s="57" t="s">
        <v>358</v>
      </c>
      <c r="C167" s="57" t="s">
        <v>359</v>
      </c>
      <c r="D167" s="57" t="s">
        <v>360</v>
      </c>
      <c r="E167" s="63">
        <v>45938</v>
      </c>
      <c r="F167" s="57" t="s">
        <v>88</v>
      </c>
      <c r="G167" s="57" t="s">
        <v>52</v>
      </c>
      <c r="H167" s="66">
        <v>10000</v>
      </c>
      <c r="I167" s="66">
        <v>30000</v>
      </c>
      <c r="J167" s="66">
        <f t="shared" si="3"/>
        <v>1500</v>
      </c>
    </row>
    <row r="168" spans="1:10" x14ac:dyDescent="0.25">
      <c r="A168" s="57">
        <v>61</v>
      </c>
      <c r="B168" s="57" t="s">
        <v>361</v>
      </c>
      <c r="C168" s="57" t="s">
        <v>362</v>
      </c>
      <c r="D168" s="57" t="s">
        <v>50</v>
      </c>
      <c r="E168" s="63">
        <v>45950</v>
      </c>
      <c r="F168" s="57" t="s">
        <v>363</v>
      </c>
      <c r="G168" s="57" t="s">
        <v>63</v>
      </c>
      <c r="H168" s="66">
        <v>15000</v>
      </c>
      <c r="I168" s="66">
        <v>135000</v>
      </c>
      <c r="J168" s="66">
        <f t="shared" si="3"/>
        <v>6750</v>
      </c>
    </row>
    <row r="169" spans="1:10" x14ac:dyDescent="0.25">
      <c r="A169" s="57">
        <v>64</v>
      </c>
      <c r="B169" s="57" t="s">
        <v>321</v>
      </c>
      <c r="C169" s="57" t="s">
        <v>322</v>
      </c>
      <c r="D169" s="57" t="s">
        <v>50</v>
      </c>
      <c r="E169" s="63">
        <v>45951</v>
      </c>
      <c r="F169" s="57" t="s">
        <v>202</v>
      </c>
      <c r="G169" s="57" t="s">
        <v>58</v>
      </c>
      <c r="H169" s="66">
        <v>20000</v>
      </c>
      <c r="I169" s="66">
        <v>20000</v>
      </c>
      <c r="J169" s="66">
        <f t="shared" si="3"/>
        <v>1000</v>
      </c>
    </row>
    <row r="170" spans="1:10" x14ac:dyDescent="0.25">
      <c r="A170" s="57">
        <v>69</v>
      </c>
      <c r="B170" s="57" t="s">
        <v>326</v>
      </c>
      <c r="C170" s="57" t="s">
        <v>327</v>
      </c>
      <c r="D170" s="57" t="s">
        <v>50</v>
      </c>
      <c r="E170" s="63">
        <v>45952</v>
      </c>
      <c r="F170" s="57" t="s">
        <v>364</v>
      </c>
      <c r="G170" s="57" t="s">
        <v>58</v>
      </c>
      <c r="H170" s="66">
        <v>10000</v>
      </c>
      <c r="I170" s="66">
        <v>10000</v>
      </c>
      <c r="J170" s="66">
        <f t="shared" si="3"/>
        <v>500</v>
      </c>
    </row>
    <row r="171" spans="1:10" x14ac:dyDescent="0.25">
      <c r="A171" s="57">
        <v>70</v>
      </c>
      <c r="B171" s="57" t="s">
        <v>326</v>
      </c>
      <c r="C171" s="57" t="s">
        <v>327</v>
      </c>
      <c r="D171" s="57" t="s">
        <v>50</v>
      </c>
      <c r="E171" s="63">
        <v>45951</v>
      </c>
      <c r="F171" s="57" t="s">
        <v>328</v>
      </c>
      <c r="G171" s="57" t="s">
        <v>63</v>
      </c>
      <c r="H171" s="66">
        <v>1300</v>
      </c>
      <c r="I171" s="66">
        <v>14300</v>
      </c>
      <c r="J171" s="66">
        <f t="shared" si="3"/>
        <v>715</v>
      </c>
    </row>
    <row r="172" spans="1:10" x14ac:dyDescent="0.25">
      <c r="A172" s="57">
        <v>71</v>
      </c>
      <c r="B172" s="57" t="s">
        <v>365</v>
      </c>
      <c r="C172" s="57" t="s">
        <v>366</v>
      </c>
      <c r="D172" s="57" t="s">
        <v>50</v>
      </c>
      <c r="E172" s="63">
        <v>45952</v>
      </c>
      <c r="F172" s="57" t="s">
        <v>367</v>
      </c>
      <c r="G172" s="57" t="s">
        <v>58</v>
      </c>
      <c r="H172" s="66">
        <v>5000</v>
      </c>
      <c r="I172" s="66">
        <v>5000</v>
      </c>
      <c r="J172" s="66">
        <f t="shared" si="3"/>
        <v>250</v>
      </c>
    </row>
    <row r="173" spans="1:10" x14ac:dyDescent="0.25">
      <c r="A173" s="57">
        <v>114</v>
      </c>
      <c r="B173" s="57" t="s">
        <v>368</v>
      </c>
      <c r="C173" s="57" t="s">
        <v>369</v>
      </c>
      <c r="D173" s="57" t="s">
        <v>50</v>
      </c>
      <c r="E173" s="63">
        <v>45939</v>
      </c>
      <c r="F173" s="57" t="s">
        <v>370</v>
      </c>
      <c r="G173" s="57" t="s">
        <v>58</v>
      </c>
      <c r="H173" s="66">
        <v>13000</v>
      </c>
      <c r="I173" s="66">
        <v>13000</v>
      </c>
      <c r="J173" s="66">
        <f t="shared" si="3"/>
        <v>650</v>
      </c>
    </row>
    <row r="174" spans="1:10" x14ac:dyDescent="0.25">
      <c r="A174" s="57">
        <v>115</v>
      </c>
      <c r="B174" s="57" t="s">
        <v>371</v>
      </c>
      <c r="C174" s="57" t="s">
        <v>56</v>
      </c>
      <c r="D174" s="57" t="s">
        <v>50</v>
      </c>
      <c r="E174" s="63">
        <v>45939</v>
      </c>
      <c r="F174" s="57" t="s">
        <v>372</v>
      </c>
      <c r="G174" s="57" t="s">
        <v>58</v>
      </c>
      <c r="H174" s="66">
        <v>5000</v>
      </c>
      <c r="I174" s="66">
        <v>5000</v>
      </c>
      <c r="J174" s="66">
        <f t="shared" si="3"/>
        <v>250</v>
      </c>
    </row>
    <row r="175" spans="1:10" x14ac:dyDescent="0.25">
      <c r="A175" s="57">
        <v>118</v>
      </c>
      <c r="B175" s="57" t="s">
        <v>373</v>
      </c>
      <c r="C175" s="57" t="s">
        <v>56</v>
      </c>
      <c r="D175" s="57" t="s">
        <v>50</v>
      </c>
      <c r="E175" s="63">
        <v>45938</v>
      </c>
      <c r="F175" s="57" t="s">
        <v>374</v>
      </c>
      <c r="G175" s="57" t="s">
        <v>58</v>
      </c>
      <c r="H175" s="66">
        <v>5000</v>
      </c>
      <c r="I175" s="66">
        <v>5000</v>
      </c>
      <c r="J175" s="66">
        <f t="shared" si="3"/>
        <v>250</v>
      </c>
    </row>
    <row r="176" spans="1:10" x14ac:dyDescent="0.25">
      <c r="A176" s="57">
        <v>134</v>
      </c>
      <c r="B176" s="57" t="s">
        <v>329</v>
      </c>
      <c r="C176" s="57" t="s">
        <v>330</v>
      </c>
      <c r="D176" s="57" t="s">
        <v>50</v>
      </c>
      <c r="E176" s="63">
        <v>45944</v>
      </c>
      <c r="F176" s="57" t="s">
        <v>331</v>
      </c>
      <c r="G176" s="57" t="s">
        <v>58</v>
      </c>
      <c r="H176" s="66">
        <v>15000</v>
      </c>
      <c r="I176" s="66">
        <v>15000</v>
      </c>
      <c r="J176" s="66">
        <f t="shared" si="3"/>
        <v>750</v>
      </c>
    </row>
    <row r="177" spans="1:10" x14ac:dyDescent="0.25">
      <c r="A177" s="57">
        <v>139</v>
      </c>
      <c r="B177" s="57" t="s">
        <v>375</v>
      </c>
      <c r="C177" s="57" t="s">
        <v>376</v>
      </c>
      <c r="D177" s="57" t="s">
        <v>377</v>
      </c>
      <c r="E177" s="63">
        <v>45933</v>
      </c>
      <c r="F177" s="57" t="s">
        <v>378</v>
      </c>
      <c r="G177" s="57" t="s">
        <v>52</v>
      </c>
      <c r="H177" s="66">
        <v>50000</v>
      </c>
      <c r="I177" s="66">
        <v>100000</v>
      </c>
      <c r="J177" s="66">
        <f t="shared" si="3"/>
        <v>5000</v>
      </c>
    </row>
    <row r="178" spans="1:10" x14ac:dyDescent="0.25">
      <c r="A178" s="57">
        <v>141</v>
      </c>
      <c r="B178" s="57" t="s">
        <v>379</v>
      </c>
      <c r="C178" s="57" t="s">
        <v>380</v>
      </c>
      <c r="D178" s="57" t="s">
        <v>381</v>
      </c>
      <c r="E178" s="63">
        <v>45936</v>
      </c>
      <c r="F178" s="57" t="s">
        <v>378</v>
      </c>
      <c r="G178" s="57" t="s">
        <v>52</v>
      </c>
      <c r="H178" s="66">
        <v>50000</v>
      </c>
      <c r="I178" s="66">
        <v>100000</v>
      </c>
      <c r="J178" s="66">
        <f t="shared" si="3"/>
        <v>5000</v>
      </c>
    </row>
    <row r="179" spans="1:10" x14ac:dyDescent="0.25">
      <c r="A179" s="57">
        <v>147</v>
      </c>
      <c r="B179" s="57" t="s">
        <v>329</v>
      </c>
      <c r="C179" s="57" t="s">
        <v>330</v>
      </c>
      <c r="D179" s="57" t="s">
        <v>50</v>
      </c>
      <c r="E179" s="63">
        <v>45953</v>
      </c>
      <c r="F179" s="57" t="s">
        <v>382</v>
      </c>
      <c r="G179" s="57" t="s">
        <v>58</v>
      </c>
      <c r="H179" s="66">
        <v>30000</v>
      </c>
      <c r="I179" s="66">
        <v>30000</v>
      </c>
      <c r="J179" s="66">
        <f t="shared" si="3"/>
        <v>1500</v>
      </c>
    </row>
    <row r="180" spans="1:10" x14ac:dyDescent="0.25">
      <c r="A180" s="57">
        <v>149</v>
      </c>
      <c r="B180" s="57" t="s">
        <v>383</v>
      </c>
      <c r="C180" s="57" t="s">
        <v>384</v>
      </c>
      <c r="D180" s="57" t="s">
        <v>385</v>
      </c>
      <c r="E180" s="63">
        <v>45934</v>
      </c>
      <c r="F180" s="57" t="s">
        <v>378</v>
      </c>
      <c r="G180" s="57" t="s">
        <v>52</v>
      </c>
      <c r="H180" s="66">
        <v>50000</v>
      </c>
      <c r="I180" s="66">
        <v>100000</v>
      </c>
      <c r="J180" s="66">
        <f t="shared" si="3"/>
        <v>5000</v>
      </c>
    </row>
    <row r="181" spans="1:10" x14ac:dyDescent="0.25">
      <c r="A181" s="57">
        <v>181</v>
      </c>
      <c r="B181" s="57" t="s">
        <v>386</v>
      </c>
      <c r="C181" s="57" t="s">
        <v>387</v>
      </c>
      <c r="D181" s="57" t="s">
        <v>50</v>
      </c>
      <c r="E181" s="63">
        <v>45947</v>
      </c>
      <c r="F181" s="57" t="s">
        <v>388</v>
      </c>
      <c r="G181" s="57" t="s">
        <v>58</v>
      </c>
      <c r="H181" s="66">
        <v>25000</v>
      </c>
      <c r="I181" s="66">
        <v>25000</v>
      </c>
      <c r="J181" s="66">
        <f t="shared" si="3"/>
        <v>1250</v>
      </c>
    </row>
    <row r="182" spans="1:10" x14ac:dyDescent="0.25">
      <c r="A182" s="57">
        <v>182</v>
      </c>
      <c r="B182" s="57" t="s">
        <v>329</v>
      </c>
      <c r="C182" s="57" t="s">
        <v>330</v>
      </c>
      <c r="D182" s="57" t="s">
        <v>50</v>
      </c>
      <c r="E182" s="63">
        <v>45950</v>
      </c>
      <c r="F182" s="57" t="s">
        <v>389</v>
      </c>
      <c r="G182" s="57" t="s">
        <v>58</v>
      </c>
      <c r="H182" s="66">
        <v>25000</v>
      </c>
      <c r="I182" s="66">
        <v>25000</v>
      </c>
      <c r="J182" s="66">
        <f t="shared" si="3"/>
        <v>1250</v>
      </c>
    </row>
    <row r="183" spans="1:10" x14ac:dyDescent="0.25">
      <c r="A183" s="57">
        <v>183</v>
      </c>
      <c r="B183" s="57" t="s">
        <v>390</v>
      </c>
      <c r="C183" s="57" t="s">
        <v>391</v>
      </c>
      <c r="D183" s="57" t="s">
        <v>392</v>
      </c>
      <c r="E183" s="63">
        <v>45954</v>
      </c>
      <c r="F183" s="57" t="s">
        <v>388</v>
      </c>
      <c r="G183" s="57" t="s">
        <v>393</v>
      </c>
      <c r="H183" s="66">
        <v>20000</v>
      </c>
      <c r="I183" s="66">
        <v>40000</v>
      </c>
      <c r="J183" s="66">
        <f t="shared" si="3"/>
        <v>2000</v>
      </c>
    </row>
    <row r="184" spans="1:10" x14ac:dyDescent="0.25">
      <c r="A184" s="57">
        <v>184</v>
      </c>
      <c r="B184" s="57" t="s">
        <v>368</v>
      </c>
      <c r="C184" s="57" t="s">
        <v>369</v>
      </c>
      <c r="D184" s="57" t="s">
        <v>50</v>
      </c>
      <c r="E184" s="63">
        <v>45957</v>
      </c>
      <c r="F184" s="57" t="s">
        <v>394</v>
      </c>
      <c r="G184" s="57" t="s">
        <v>58</v>
      </c>
      <c r="H184" s="66">
        <v>5000</v>
      </c>
      <c r="I184" s="66">
        <v>5000</v>
      </c>
      <c r="J184" s="66">
        <f t="shared" si="3"/>
        <v>250</v>
      </c>
    </row>
    <row r="185" spans="1:10" x14ac:dyDescent="0.25">
      <c r="A185" s="57">
        <v>191</v>
      </c>
      <c r="B185" s="57" t="s">
        <v>368</v>
      </c>
      <c r="C185" s="57" t="s">
        <v>369</v>
      </c>
      <c r="D185" s="57" t="s">
        <v>50</v>
      </c>
      <c r="E185" s="63">
        <v>45947</v>
      </c>
      <c r="F185" s="57" t="s">
        <v>395</v>
      </c>
      <c r="G185" s="57" t="s">
        <v>58</v>
      </c>
      <c r="H185" s="66">
        <v>5000</v>
      </c>
      <c r="I185" s="66">
        <v>5000</v>
      </c>
      <c r="J185" s="66">
        <f t="shared" si="3"/>
        <v>250</v>
      </c>
    </row>
    <row r="186" spans="1:10" x14ac:dyDescent="0.25">
      <c r="A186" s="57">
        <v>192</v>
      </c>
      <c r="B186" s="57" t="s">
        <v>396</v>
      </c>
      <c r="C186" s="57" t="s">
        <v>56</v>
      </c>
      <c r="D186" s="57" t="s">
        <v>50</v>
      </c>
      <c r="E186" s="63">
        <v>45948</v>
      </c>
      <c r="F186" s="57" t="s">
        <v>372</v>
      </c>
      <c r="G186" s="57" t="s">
        <v>58</v>
      </c>
      <c r="H186" s="66">
        <v>10000</v>
      </c>
      <c r="I186" s="66">
        <v>10000</v>
      </c>
      <c r="J186" s="66">
        <f t="shared" si="3"/>
        <v>500</v>
      </c>
    </row>
    <row r="187" spans="1:10" x14ac:dyDescent="0.25">
      <c r="A187" s="57">
        <v>193</v>
      </c>
      <c r="B187" s="57" t="s">
        <v>368</v>
      </c>
      <c r="C187" s="57" t="s">
        <v>369</v>
      </c>
      <c r="D187" s="57" t="s">
        <v>50</v>
      </c>
      <c r="E187" s="63">
        <v>45950</v>
      </c>
      <c r="F187" s="57" t="s">
        <v>372</v>
      </c>
      <c r="G187" s="57" t="s">
        <v>58</v>
      </c>
      <c r="H187" s="66">
        <v>5000</v>
      </c>
      <c r="I187" s="66">
        <v>5000</v>
      </c>
      <c r="J187" s="66">
        <f t="shared" si="3"/>
        <v>250</v>
      </c>
    </row>
    <row r="188" spans="1:10" x14ac:dyDescent="0.25">
      <c r="A188" s="57">
        <v>211</v>
      </c>
      <c r="B188" s="57" t="s">
        <v>397</v>
      </c>
      <c r="C188" s="57" t="s">
        <v>398</v>
      </c>
      <c r="D188" s="57" t="s">
        <v>50</v>
      </c>
      <c r="E188" s="63">
        <v>45932</v>
      </c>
      <c r="F188" s="57" t="s">
        <v>399</v>
      </c>
      <c r="G188" s="57" t="s">
        <v>52</v>
      </c>
      <c r="H188" s="66">
        <v>160000</v>
      </c>
      <c r="I188" s="66">
        <v>160000</v>
      </c>
      <c r="J188" s="66">
        <f t="shared" si="3"/>
        <v>8000</v>
      </c>
    </row>
    <row r="189" spans="1:10" x14ac:dyDescent="0.25">
      <c r="A189" s="57">
        <v>212</v>
      </c>
      <c r="B189" s="57" t="s">
        <v>400</v>
      </c>
      <c r="C189" s="57" t="s">
        <v>401</v>
      </c>
      <c r="D189" s="57" t="s">
        <v>50</v>
      </c>
      <c r="E189" s="63">
        <v>45933</v>
      </c>
      <c r="F189" s="57" t="s">
        <v>202</v>
      </c>
      <c r="G189" s="57" t="s">
        <v>58</v>
      </c>
      <c r="H189" s="66">
        <v>15000</v>
      </c>
      <c r="I189" s="66">
        <v>15000</v>
      </c>
      <c r="J189" s="66">
        <f t="shared" si="3"/>
        <v>750</v>
      </c>
    </row>
    <row r="190" spans="1:10" x14ac:dyDescent="0.25">
      <c r="A190" s="57">
        <v>223</v>
      </c>
      <c r="B190" s="57" t="s">
        <v>361</v>
      </c>
      <c r="C190" s="57" t="s">
        <v>362</v>
      </c>
      <c r="D190" s="57" t="s">
        <v>50</v>
      </c>
      <c r="E190" s="63">
        <v>45936</v>
      </c>
      <c r="F190" s="57" t="s">
        <v>402</v>
      </c>
      <c r="G190" s="57" t="s">
        <v>63</v>
      </c>
      <c r="H190" s="66">
        <v>15000</v>
      </c>
      <c r="I190" s="66">
        <v>135000</v>
      </c>
      <c r="J190" s="66">
        <f t="shared" si="3"/>
        <v>6750</v>
      </c>
    </row>
    <row r="191" spans="1:10" x14ac:dyDescent="0.25">
      <c r="A191" s="57">
        <v>224</v>
      </c>
      <c r="B191" s="57" t="s">
        <v>403</v>
      </c>
      <c r="C191" s="57" t="s">
        <v>404</v>
      </c>
      <c r="D191" s="57" t="s">
        <v>101</v>
      </c>
      <c r="E191" s="63">
        <v>45960</v>
      </c>
      <c r="F191" s="57" t="s">
        <v>405</v>
      </c>
      <c r="G191" s="57" t="s">
        <v>153</v>
      </c>
      <c r="H191" s="66">
        <v>10000</v>
      </c>
      <c r="I191" s="66">
        <v>60000</v>
      </c>
      <c r="J191" s="66">
        <f t="shared" si="3"/>
        <v>3000</v>
      </c>
    </row>
    <row r="192" spans="1:10" x14ac:dyDescent="0.25">
      <c r="A192" s="57">
        <v>228</v>
      </c>
      <c r="B192" s="57" t="s">
        <v>406</v>
      </c>
      <c r="C192" s="57" t="s">
        <v>407</v>
      </c>
      <c r="D192" s="57" t="s">
        <v>377</v>
      </c>
      <c r="E192" s="63">
        <v>45958</v>
      </c>
      <c r="F192" s="57" t="s">
        <v>408</v>
      </c>
      <c r="G192" s="57" t="s">
        <v>58</v>
      </c>
      <c r="H192" s="66">
        <v>34000</v>
      </c>
      <c r="I192" s="66">
        <v>34000</v>
      </c>
      <c r="J192" s="66">
        <f t="shared" si="3"/>
        <v>1700</v>
      </c>
    </row>
    <row r="193" spans="1:10" x14ac:dyDescent="0.25">
      <c r="A193" s="57">
        <v>229</v>
      </c>
      <c r="B193" s="57" t="s">
        <v>406</v>
      </c>
      <c r="C193" s="57" t="s">
        <v>407</v>
      </c>
      <c r="D193" s="57" t="s">
        <v>377</v>
      </c>
      <c r="E193" s="63">
        <v>45958</v>
      </c>
      <c r="F193" s="57" t="s">
        <v>409</v>
      </c>
      <c r="G193" s="57" t="s">
        <v>52</v>
      </c>
      <c r="H193" s="66">
        <v>75000</v>
      </c>
      <c r="I193" s="66">
        <v>75000</v>
      </c>
      <c r="J193" s="66">
        <f t="shared" si="3"/>
        <v>3750</v>
      </c>
    </row>
    <row r="194" spans="1:10" x14ac:dyDescent="0.25">
      <c r="A194" s="57">
        <v>230</v>
      </c>
      <c r="B194" s="57" t="s">
        <v>410</v>
      </c>
      <c r="C194" s="57" t="s">
        <v>411</v>
      </c>
      <c r="D194" s="57" t="s">
        <v>50</v>
      </c>
      <c r="E194" s="63">
        <v>45959</v>
      </c>
      <c r="F194" s="57" t="s">
        <v>412</v>
      </c>
      <c r="G194" s="57" t="s">
        <v>58</v>
      </c>
      <c r="H194" s="66">
        <v>10000</v>
      </c>
      <c r="I194" s="66">
        <v>10000</v>
      </c>
      <c r="J194" s="66">
        <f t="shared" si="3"/>
        <v>500</v>
      </c>
    </row>
    <row r="195" spans="1:10" x14ac:dyDescent="0.25">
      <c r="A195" s="57">
        <v>231</v>
      </c>
      <c r="B195" s="57" t="s">
        <v>410</v>
      </c>
      <c r="C195" s="57" t="s">
        <v>411</v>
      </c>
      <c r="D195" s="57" t="s">
        <v>50</v>
      </c>
      <c r="E195" s="63">
        <v>45959</v>
      </c>
      <c r="F195" s="57" t="s">
        <v>413</v>
      </c>
      <c r="G195" s="57" t="s">
        <v>58</v>
      </c>
      <c r="H195" s="66">
        <v>7000</v>
      </c>
      <c r="I195" s="66">
        <v>7000</v>
      </c>
      <c r="J195" s="66">
        <f t="shared" si="3"/>
        <v>350</v>
      </c>
    </row>
    <row r="196" spans="1:10" x14ac:dyDescent="0.25">
      <c r="A196" s="57">
        <v>232</v>
      </c>
      <c r="B196" s="57" t="s">
        <v>383</v>
      </c>
      <c r="C196" s="57" t="s">
        <v>384</v>
      </c>
      <c r="D196" s="57" t="s">
        <v>385</v>
      </c>
      <c r="E196" s="63">
        <v>45961</v>
      </c>
      <c r="F196" s="57" t="s">
        <v>414</v>
      </c>
      <c r="G196" s="57" t="s">
        <v>52</v>
      </c>
      <c r="H196" s="66">
        <v>300000</v>
      </c>
      <c r="I196" s="66">
        <v>600000</v>
      </c>
      <c r="J196" s="66">
        <f t="shared" si="3"/>
        <v>30000</v>
      </c>
    </row>
    <row r="197" spans="1:10" x14ac:dyDescent="0.25">
      <c r="A197" s="57">
        <v>233</v>
      </c>
      <c r="B197" s="57" t="s">
        <v>415</v>
      </c>
      <c r="C197" s="57" t="s">
        <v>416</v>
      </c>
      <c r="D197" s="57" t="s">
        <v>417</v>
      </c>
      <c r="E197" s="63">
        <v>45961</v>
      </c>
      <c r="F197" s="57" t="s">
        <v>414</v>
      </c>
      <c r="G197" s="57" t="s">
        <v>52</v>
      </c>
      <c r="H197" s="66">
        <v>300000</v>
      </c>
      <c r="I197" s="66">
        <v>1200000</v>
      </c>
      <c r="J197" s="66">
        <f t="shared" si="3"/>
        <v>60000</v>
      </c>
    </row>
    <row r="198" spans="1:10" x14ac:dyDescent="0.25">
      <c r="A198" s="57">
        <v>234</v>
      </c>
      <c r="B198" s="57" t="s">
        <v>379</v>
      </c>
      <c r="C198" s="57" t="s">
        <v>380</v>
      </c>
      <c r="D198" s="57" t="s">
        <v>381</v>
      </c>
      <c r="E198" s="63">
        <v>45961</v>
      </c>
      <c r="F198" s="57" t="s">
        <v>414</v>
      </c>
      <c r="G198" s="57" t="s">
        <v>52</v>
      </c>
      <c r="H198" s="66">
        <v>300000</v>
      </c>
      <c r="I198" s="66">
        <v>600000</v>
      </c>
      <c r="J198" s="66">
        <f t="shared" si="3"/>
        <v>30000</v>
      </c>
    </row>
    <row r="199" spans="1:10" x14ac:dyDescent="0.25">
      <c r="A199" s="57">
        <v>235</v>
      </c>
      <c r="B199" s="57" t="s">
        <v>375</v>
      </c>
      <c r="C199" s="57" t="s">
        <v>376</v>
      </c>
      <c r="D199" s="57" t="s">
        <v>377</v>
      </c>
      <c r="E199" s="63">
        <v>45961</v>
      </c>
      <c r="F199" s="57" t="s">
        <v>414</v>
      </c>
      <c r="G199" s="57" t="s">
        <v>52</v>
      </c>
      <c r="H199" s="66">
        <v>300000</v>
      </c>
      <c r="I199" s="66">
        <v>600000</v>
      </c>
      <c r="J199" s="66">
        <f t="shared" si="3"/>
        <v>30000</v>
      </c>
    </row>
    <row r="200" spans="1:10" x14ac:dyDescent="0.25">
      <c r="A200" s="57">
        <v>251</v>
      </c>
      <c r="B200" s="57" t="s">
        <v>418</v>
      </c>
      <c r="C200" s="57" t="s">
        <v>56</v>
      </c>
      <c r="D200" s="57" t="s">
        <v>419</v>
      </c>
      <c r="E200" s="63">
        <v>45961</v>
      </c>
      <c r="F200" s="57" t="s">
        <v>420</v>
      </c>
      <c r="G200" s="57" t="s">
        <v>58</v>
      </c>
      <c r="H200" s="66">
        <v>5000</v>
      </c>
      <c r="I200" s="66">
        <v>5000</v>
      </c>
      <c r="J200" s="66">
        <f t="shared" si="3"/>
        <v>250</v>
      </c>
    </row>
    <row r="201" spans="1:10" x14ac:dyDescent="0.25">
      <c r="A201" s="57">
        <v>254</v>
      </c>
      <c r="B201" s="57" t="s">
        <v>368</v>
      </c>
      <c r="C201" s="57" t="s">
        <v>369</v>
      </c>
      <c r="D201" s="57" t="s">
        <v>50</v>
      </c>
      <c r="E201" s="63">
        <v>45958</v>
      </c>
      <c r="F201" s="57" t="s">
        <v>394</v>
      </c>
      <c r="G201" s="57" t="s">
        <v>58</v>
      </c>
      <c r="H201" s="66">
        <v>10000</v>
      </c>
      <c r="I201" s="66">
        <v>10000</v>
      </c>
      <c r="J201" s="66">
        <f t="shared" si="3"/>
        <v>500</v>
      </c>
    </row>
    <row r="202" spans="1:10" x14ac:dyDescent="0.25">
      <c r="A202" s="57">
        <v>255</v>
      </c>
      <c r="B202" s="57" t="s">
        <v>368</v>
      </c>
      <c r="C202" s="57" t="s">
        <v>369</v>
      </c>
      <c r="D202" s="57" t="s">
        <v>50</v>
      </c>
      <c r="E202" s="63">
        <v>45961</v>
      </c>
      <c r="F202" s="57" t="s">
        <v>421</v>
      </c>
      <c r="G202" s="57" t="s">
        <v>58</v>
      </c>
      <c r="H202" s="66">
        <v>8000</v>
      </c>
      <c r="I202" s="66">
        <v>8000</v>
      </c>
      <c r="J202" s="66">
        <f t="shared" si="3"/>
        <v>400</v>
      </c>
    </row>
    <row r="203" spans="1:10" x14ac:dyDescent="0.25">
      <c r="A203" s="57">
        <v>261</v>
      </c>
      <c r="B203" s="57" t="s">
        <v>422</v>
      </c>
      <c r="C203" s="57" t="s">
        <v>423</v>
      </c>
      <c r="D203" s="57" t="s">
        <v>50</v>
      </c>
      <c r="E203" s="63">
        <v>45954</v>
      </c>
      <c r="F203" s="57" t="s">
        <v>399</v>
      </c>
      <c r="G203" s="57" t="s">
        <v>52</v>
      </c>
      <c r="H203" s="66">
        <v>130000</v>
      </c>
      <c r="I203" s="66">
        <v>130000</v>
      </c>
      <c r="J203" s="66">
        <f t="shared" si="3"/>
        <v>6500</v>
      </c>
    </row>
    <row r="204" spans="1:10" x14ac:dyDescent="0.25">
      <c r="A204" s="57">
        <v>262</v>
      </c>
      <c r="B204" s="57" t="s">
        <v>415</v>
      </c>
      <c r="C204" s="57" t="s">
        <v>416</v>
      </c>
      <c r="D204" s="57" t="s">
        <v>417</v>
      </c>
      <c r="E204" s="63">
        <v>45934</v>
      </c>
      <c r="F204" s="57" t="s">
        <v>424</v>
      </c>
      <c r="G204" s="57" t="s">
        <v>52</v>
      </c>
      <c r="H204" s="66">
        <v>50000</v>
      </c>
      <c r="I204" s="66">
        <v>200000</v>
      </c>
      <c r="J204" s="66">
        <f t="shared" si="3"/>
        <v>10000</v>
      </c>
    </row>
    <row r="205" spans="1:10" x14ac:dyDescent="0.25">
      <c r="A205" s="57">
        <v>263</v>
      </c>
      <c r="B205" s="57" t="s">
        <v>425</v>
      </c>
      <c r="C205" s="57" t="s">
        <v>426</v>
      </c>
      <c r="D205" s="57" t="s">
        <v>427</v>
      </c>
      <c r="E205" s="63">
        <v>45940</v>
      </c>
      <c r="F205" s="57" t="s">
        <v>428</v>
      </c>
      <c r="G205" s="57" t="s">
        <v>58</v>
      </c>
      <c r="H205" s="66">
        <v>70000</v>
      </c>
      <c r="I205" s="66">
        <v>70000</v>
      </c>
      <c r="J205" s="66">
        <f t="shared" si="3"/>
        <v>3500</v>
      </c>
    </row>
    <row r="206" spans="1:10" x14ac:dyDescent="0.25">
      <c r="A206" s="64" t="s">
        <v>429</v>
      </c>
      <c r="B206" s="64"/>
      <c r="C206" s="64"/>
      <c r="D206" s="64"/>
      <c r="E206" s="64"/>
      <c r="F206" s="64"/>
      <c r="G206" s="64"/>
      <c r="H206" s="67"/>
      <c r="I206" s="67">
        <f>SUBTOTAL(9,I150:I205)</f>
        <v>4919900</v>
      </c>
      <c r="J206" s="67">
        <f>SUBTOTAL(9,J150:J205)</f>
        <v>245995</v>
      </c>
    </row>
    <row r="207" spans="1:10" x14ac:dyDescent="0.25">
      <c r="A207" s="64" t="s">
        <v>95</v>
      </c>
      <c r="B207" s="64"/>
      <c r="C207" s="64"/>
      <c r="D207" s="64"/>
      <c r="E207" s="64"/>
      <c r="F207" s="64"/>
      <c r="G207" s="64"/>
      <c r="H207" s="67"/>
      <c r="I207" s="67">
        <f>SUBTOTAL(9,I13:I206)</f>
        <v>15785200</v>
      </c>
      <c r="J207" s="67">
        <f>SUBTOTAL(9,J13:J206)</f>
        <v>789260</v>
      </c>
    </row>
  </sheetData>
  <mergeCells count="10">
    <mergeCell ref="A2:I2"/>
    <mergeCell ref="I10:I11"/>
    <mergeCell ref="D9:D11"/>
    <mergeCell ref="E9:I9"/>
    <mergeCell ref="F10:F11"/>
    <mergeCell ref="J10:J11"/>
    <mergeCell ref="G10:H10"/>
    <mergeCell ref="B9:B11"/>
    <mergeCell ref="C9:C11"/>
    <mergeCell ref="E10:E11"/>
  </mergeCells>
  <pageMargins left="0.23622047244094491" right="0.23622047244094491" top="0.74803149606299213" bottom="0.74803149606299213" header="0.31496062992125984" footer="0.31496062992125984"/>
  <pageSetup paperSize="9" scale="50" orientation="landscape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7B6997-14D7-42AD-BDDA-81AB06CB83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Déclaration IRI</vt:lpstr>
      <vt:lpstr>Annexe IRI</vt:lpstr>
      <vt:lpstr>'Annexe IRI'!Impression_des_titres</vt:lpstr>
      <vt:lpstr>'Annexe IRI'!Zone_d_impression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Herizo Raza</dc:creator>
  <cp:lastModifiedBy>Herizo Raza</cp:lastModifiedBy>
  <dcterms:created xsi:type="dcterms:W3CDTF">2025-11-25T11:12:30Z</dcterms:created>
  <dcterms:modified xsi:type="dcterms:W3CDTF">2025-11-25T11:36:34Z</dcterms:modified>
</cp:coreProperties>
</file>