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r Soakoja\Documents\Formation appli web\hydria nuxt django\backend\"/>
    </mc:Choice>
  </mc:AlternateContent>
  <xr:revisionPtr revIDLastSave="0" documentId="13_ncr:1_{553DFE3A-38B5-4B44-B975-5FBABFA3522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RDEREAU TRIMESTRIELLE" sheetId="1" r:id="rId1"/>
    <sheet name="DNS" sheetId="2" r:id="rId2"/>
  </sheets>
  <definedNames>
    <definedName name="_L">#REF!</definedName>
    <definedName name="_xlnm.Print_Area" localSheetId="0">'BORDEREAU TRIMESTRIELLE'!$A$1:$G$51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" i="1" l="1"/>
  <c r="N15" i="2"/>
  <c r="P15" i="2" s="1"/>
  <c r="O15" i="2" l="1"/>
  <c r="Q15" i="2" l="1"/>
  <c r="N16" i="2"/>
  <c r="N17" i="2"/>
  <c r="L18" i="2"/>
  <c r="M18" i="2"/>
  <c r="K18" i="2"/>
  <c r="P16" i="2" l="1"/>
  <c r="P18" i="2" s="1"/>
  <c r="O16" i="2"/>
  <c r="N18" i="2"/>
  <c r="B30" i="2" s="1"/>
  <c r="E23" i="1"/>
  <c r="E21" i="1"/>
  <c r="E25" i="1" l="1"/>
  <c r="Q16" i="2"/>
  <c r="Q18" i="2" s="1"/>
  <c r="B31" i="2" s="1"/>
  <c r="O18" i="2"/>
</calcChain>
</file>

<file path=xl/sharedStrings.xml><?xml version="1.0" encoding="utf-8"?>
<sst xmlns="http://schemas.openxmlformats.org/spreadsheetml/2006/main" count="84" uniqueCount="82">
  <si>
    <t>BORDEREAU DE DECLARATION DES COTISATIONS</t>
  </si>
  <si>
    <t>Nom ou Raison sociale:</t>
  </si>
  <si>
    <t>N° d'identification:</t>
  </si>
  <si>
    <t>Adresse:</t>
  </si>
  <si>
    <t>Mail:</t>
  </si>
  <si>
    <t>Téléphone:</t>
  </si>
  <si>
    <t>EFFECTIF TOTAL:</t>
  </si>
  <si>
    <t>TOTAL DES SALAIRES ET AVANTAGES VERSES:</t>
  </si>
  <si>
    <t>COTISATIONS "EMPLOYEUR" (5%):</t>
  </si>
  <si>
    <t>COTISATIONS "TRAVAILLEURS" (1%):</t>
  </si>
  <si>
    <t>TOTAL DES COTISATIONS:</t>
  </si>
  <si>
    <t>MAJORATION DE RETARD:</t>
  </si>
  <si>
    <t>SOLDE ANTERIEUR:</t>
  </si>
  <si>
    <t>NET A PAYER:</t>
  </si>
  <si>
    <t>A Antananarivo, le</t>
  </si>
  <si>
    <t>Certifié sincère et véritable</t>
  </si>
  <si>
    <t>(Cachet et signature)</t>
  </si>
  <si>
    <t>Modalité de règlement des cotisations:</t>
  </si>
  <si>
    <t>o    par chèque barré à l’ordre de l’AMIT,</t>
  </si>
  <si>
    <t>o    par versement d’espèces au compte BFV-SG N°00008 00008 21000886362 08,</t>
  </si>
  <si>
    <t>o    par virement bancaire au compte BFV-SG N°00008 00008 21000886362 08.</t>
  </si>
  <si>
    <t xml:space="preserve">Délai de versement avant le 10 de chaque mois; </t>
  </si>
  <si>
    <t>passer ce délai, une majoration de 10% sera appliquée.</t>
  </si>
  <si>
    <t>A . M . I . T</t>
  </si>
  <si>
    <t>ASSOCIATION MEDICALE INTER-ENTREPRISE DE TANANARIVE</t>
  </si>
  <si>
    <t>Siège:IVE 21 Behoririka</t>
  </si>
  <si>
    <t>Tél.22 303 83</t>
  </si>
  <si>
    <t>Annexe: 117, Avenue Lénine</t>
  </si>
  <si>
    <t>Antanimena - Tél.22 303 86</t>
  </si>
  <si>
    <t>ANTANANARIVO</t>
  </si>
  <si>
    <t>Montant des salaires et assimilés payés au titre :</t>
  </si>
  <si>
    <t xml:space="preserve">de la période considérée : </t>
  </si>
  <si>
    <t>PRENOMS</t>
  </si>
  <si>
    <t>NOM</t>
  </si>
  <si>
    <t>Date de naissance</t>
  </si>
  <si>
    <t>CIN</t>
  </si>
  <si>
    <t>SEXE</t>
  </si>
  <si>
    <t>DATE</t>
  </si>
  <si>
    <t>REMUNERATION</t>
  </si>
  <si>
    <t>Temps de travail</t>
  </si>
  <si>
    <t>TOTAL SALAIRE NON PLAFONNE par employé</t>
  </si>
  <si>
    <t>Nombre Enfants CNaPS</t>
  </si>
  <si>
    <t>Entrée</t>
  </si>
  <si>
    <t>Départ</t>
  </si>
  <si>
    <t>Avantages ou autres</t>
  </si>
  <si>
    <t>EFFECTIF TOTAL</t>
  </si>
  <si>
    <t>TOTAUX</t>
  </si>
  <si>
    <t xml:space="preserve">Antananarivo, </t>
  </si>
  <si>
    <t>Passé ce delai une majoration de 10% sera appliquée.</t>
  </si>
  <si>
    <t>ONG SOAKOJA</t>
  </si>
  <si>
    <t>Nanisana enceinte Inter Aide</t>
  </si>
  <si>
    <t>tanasoakoja@.org</t>
  </si>
  <si>
    <t>038 42 085 18</t>
  </si>
  <si>
    <t>NOM OU RAISON SOCIALE : ONG SOAKOJA</t>
  </si>
  <si>
    <t>Adresse : Nanisana enceinte InterAide</t>
  </si>
  <si>
    <t>STAT :88101322018000193</t>
  </si>
  <si>
    <t>Tél : 038 42 085 18</t>
  </si>
  <si>
    <t>E-mail : tanasoakoja@.org</t>
  </si>
  <si>
    <t xml:space="preserve">RASOANIRINA </t>
  </si>
  <si>
    <t>Kwan kai-Ton Lydie</t>
  </si>
  <si>
    <t>F</t>
  </si>
  <si>
    <t xml:space="preserve">HERIMAMINAVALONA </t>
  </si>
  <si>
    <t>Fifaliana</t>
  </si>
  <si>
    <t>M</t>
  </si>
  <si>
    <t>NIF :3003101957</t>
  </si>
  <si>
    <t>A021</t>
  </si>
  <si>
    <t>TOTAL COTISATION 6% TRIMESTRIELLE</t>
  </si>
  <si>
    <t>……A021…………………………………………………</t>
  </si>
  <si>
    <t>TOTAL SALAIRE EMPLOYE trimestrielle</t>
  </si>
  <si>
    <t>Salaire payé/mois de juillet</t>
  </si>
  <si>
    <t>Salaire payé/mois de Août</t>
  </si>
  <si>
    <t>Salaire payé/mois de Septembre</t>
  </si>
  <si>
    <t xml:space="preserve">Cotisations part employé 1% </t>
  </si>
  <si>
    <t xml:space="preserve">Cotisations part employeur 5% </t>
  </si>
  <si>
    <t>Total Cotisations 6%</t>
  </si>
  <si>
    <t>N˚ CHEZ L'AMIT</t>
  </si>
  <si>
    <t>– Le règlement de la cotisation se fera strictement par chèque barré</t>
  </si>
  <si>
    <t>– Delai de versement avant le 10 de chaque mois</t>
  </si>
  <si>
    <r>
      <t>N˚ d'Identification :</t>
    </r>
    <r>
      <rPr>
        <sz val="12"/>
        <rFont val="Times New Roman"/>
        <family val="1"/>
      </rPr>
      <t xml:space="preserve"> </t>
    </r>
  </si>
  <si>
    <t xml:space="preserve"> 07 Octobre 2025</t>
  </si>
  <si>
    <r>
      <rPr>
        <b/>
        <sz val="11"/>
        <color rgb="FF000000"/>
        <rFont val="Century Gothic"/>
        <family val="2"/>
      </rPr>
      <t>Période</t>
    </r>
    <r>
      <rPr>
        <sz val="11"/>
        <color rgb="FF000000"/>
        <rFont val="Century Gothic"/>
        <family val="2"/>
      </rPr>
      <t xml:space="preserve"> : 3è trimestre 2025</t>
    </r>
  </si>
  <si>
    <t>MOIS : Juillet_Août-Septembre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</si>
</sst>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\-??\ _€_-;_-@_-"/>
    <numFmt numFmtId="165" formatCode="[$-40C]d\ mmmm\ yyyy;@"/>
    <numFmt numFmtId="166" formatCode="_-* #,##0\ _€_-;\-* #,##0\ _€_-;_-* \-??\ _€_-;_-@_-"/>
    <numFmt numFmtId="167" formatCode="_-* #,##0.00\ _€_-;\-* #,##0.00\ _€_-;_-* &quot;-&quot;??\ _€_-;_-@_-"/>
  </numFmts>
  <fonts count="22">
    <font>
      <sz val="11"/>
      <color rgb="FF000000"/>
      <name val="Calibri"/>
      <charset val="134"/>
    </font>
    <font>
      <sz val="10"/>
      <name val="Arial"/>
      <charset val="134"/>
    </font>
    <font>
      <sz val="11"/>
      <color rgb="FF000000"/>
      <name val="Century Gothic"/>
      <charset val="134"/>
    </font>
    <font>
      <b/>
      <sz val="10"/>
      <color rgb="FF1F497D"/>
      <name val="Century Gothic"/>
      <charset val="134"/>
    </font>
    <font>
      <sz val="10"/>
      <color rgb="FF000000"/>
      <name val="Century Gothic"/>
      <charset val="134"/>
    </font>
    <font>
      <b/>
      <u val="double"/>
      <sz val="11"/>
      <color rgb="FF1F497D"/>
      <name val="Century Gothic"/>
      <charset val="134"/>
    </font>
    <font>
      <b/>
      <u val="double"/>
      <sz val="10"/>
      <color rgb="FF1F497D"/>
      <name val="Century Gothic"/>
      <charset val="134"/>
    </font>
    <font>
      <sz val="10"/>
      <color rgb="FF000000"/>
      <name val="Calibri"/>
      <charset val="134"/>
    </font>
    <font>
      <b/>
      <sz val="11"/>
      <color rgb="FF000000"/>
      <name val="Century Gothic"/>
      <charset val="134"/>
    </font>
    <font>
      <b/>
      <i/>
      <sz val="11"/>
      <color rgb="FF000000"/>
      <name val="Century Gothic"/>
      <charset val="134"/>
    </font>
    <font>
      <i/>
      <sz val="11"/>
      <color rgb="FF000000"/>
      <name val="Century Gothic"/>
      <charset val="134"/>
    </font>
    <font>
      <u/>
      <sz val="11"/>
      <color rgb="FF000000"/>
      <name val="Century Gothic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</font>
    <font>
      <sz val="8"/>
      <name val="Calibri"/>
      <charset val="134"/>
    </font>
    <font>
      <sz val="11"/>
      <color rgb="FF000000"/>
      <name val="Century Gothic"/>
      <family val="2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D9F1"/>
        <bgColor rgb="FFC0C0C0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2" fillId="0" borderId="0" applyBorder="0" applyProtection="0"/>
    <xf numFmtId="0" fontId="1" fillId="0" borderId="0"/>
    <xf numFmtId="0" fontId="13" fillId="0" borderId="0" applyNumberFormat="0" applyFill="0" applyBorder="0" applyAlignment="0" applyProtection="0"/>
  </cellStyleXfs>
  <cellXfs count="115">
    <xf numFmtId="0" fontId="0" fillId="0" borderId="0" xfId="0"/>
    <xf numFmtId="0" fontId="0" fillId="2" borderId="0" xfId="0" applyFill="1"/>
    <xf numFmtId="0" fontId="2" fillId="2" borderId="0" xfId="0" applyFont="1" applyFill="1" applyProtection="1">
      <protection hidden="1"/>
    </xf>
    <xf numFmtId="0" fontId="3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0" fontId="5" fillId="2" borderId="0" xfId="0" applyFont="1" applyFill="1" applyProtection="1">
      <protection hidden="1"/>
    </xf>
    <xf numFmtId="0" fontId="7" fillId="2" borderId="0" xfId="0" applyFont="1" applyFill="1"/>
    <xf numFmtId="0" fontId="2" fillId="2" borderId="0" xfId="0" applyFont="1" applyFill="1" applyProtection="1">
      <protection locked="0" hidden="1"/>
    </xf>
    <xf numFmtId="0" fontId="2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0" fontId="2" fillId="2" borderId="2" xfId="0" applyFont="1" applyFill="1" applyBorder="1" applyProtection="1">
      <protection locked="0" hidden="1"/>
    </xf>
    <xf numFmtId="0" fontId="2" fillId="2" borderId="3" xfId="0" applyFont="1" applyFill="1" applyBorder="1" applyProtection="1">
      <protection hidden="1"/>
    </xf>
    <xf numFmtId="0" fontId="2" fillId="2" borderId="4" xfId="0" applyFont="1" applyFill="1" applyBorder="1" applyProtection="1">
      <protection hidden="1"/>
    </xf>
    <xf numFmtId="0" fontId="2" fillId="2" borderId="5" xfId="0" applyFont="1" applyFill="1" applyBorder="1" applyProtection="1"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2" fillId="2" borderId="7" xfId="0" applyFont="1" applyFill="1" applyBorder="1" applyProtection="1">
      <protection locked="0" hidden="1"/>
    </xf>
    <xf numFmtId="0" fontId="2" fillId="2" borderId="8" xfId="0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9" fillId="2" borderId="0" xfId="0" applyFont="1" applyFill="1" applyProtection="1">
      <protection hidden="1"/>
    </xf>
    <xf numFmtId="0" fontId="10" fillId="2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13" fillId="2" borderId="0" xfId="3" applyFill="1" applyProtection="1">
      <protection locked="0" hidden="1"/>
    </xf>
    <xf numFmtId="167" fontId="0" fillId="2" borderId="0" xfId="0" applyNumberFormat="1" applyFill="1"/>
    <xf numFmtId="0" fontId="15" fillId="2" borderId="0" xfId="0" applyFont="1" applyFill="1" applyProtection="1">
      <protection locked="0" hidden="1"/>
    </xf>
    <xf numFmtId="0" fontId="16" fillId="2" borderId="4" xfId="0" applyFont="1" applyFill="1" applyBorder="1" applyAlignment="1">
      <alignment vertical="center"/>
    </xf>
    <xf numFmtId="0" fontId="18" fillId="3" borderId="3" xfId="2" applyFont="1" applyFill="1" applyBorder="1" applyAlignment="1">
      <alignment vertical="center"/>
    </xf>
    <xf numFmtId="0" fontId="18" fillId="2" borderId="2" xfId="2" applyFont="1" applyFill="1" applyBorder="1" applyAlignment="1">
      <alignment horizontal="left" vertical="center"/>
    </xf>
    <xf numFmtId="0" fontId="19" fillId="2" borderId="2" xfId="2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5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8" fillId="3" borderId="5" xfId="2" applyFont="1" applyFill="1" applyBorder="1" applyAlignment="1">
      <alignment vertical="center"/>
    </xf>
    <xf numFmtId="0" fontId="18" fillId="2" borderId="0" xfId="2" applyFont="1" applyFill="1" applyAlignment="1">
      <alignment horizontal="left" vertical="center"/>
    </xf>
    <xf numFmtId="0" fontId="19" fillId="2" borderId="0" xfId="2" applyFont="1" applyFill="1" applyAlignment="1">
      <alignment vertical="center"/>
    </xf>
    <xf numFmtId="164" fontId="19" fillId="3" borderId="4" xfId="1" applyFont="1" applyFill="1" applyBorder="1" applyAlignment="1" applyProtection="1">
      <alignment vertical="center"/>
    </xf>
    <xf numFmtId="0" fontId="19" fillId="3" borderId="0" xfId="2" applyFont="1" applyFill="1" applyAlignment="1">
      <alignment vertical="center"/>
    </xf>
    <xf numFmtId="0" fontId="19" fillId="3" borderId="5" xfId="2" applyFont="1" applyFill="1" applyBorder="1" applyAlignment="1">
      <alignment vertical="center"/>
    </xf>
    <xf numFmtId="164" fontId="19" fillId="3" borderId="6" xfId="1" applyFont="1" applyFill="1" applyBorder="1" applyAlignment="1" applyProtection="1">
      <alignment vertical="center"/>
    </xf>
    <xf numFmtId="0" fontId="19" fillId="3" borderId="7" xfId="2" applyFont="1" applyFill="1" applyBorder="1" applyAlignment="1">
      <alignment vertical="center"/>
    </xf>
    <xf numFmtId="0" fontId="19" fillId="3" borderId="8" xfId="2" applyFont="1" applyFill="1" applyBorder="1" applyAlignment="1">
      <alignment vertical="center"/>
    </xf>
    <xf numFmtId="0" fontId="18" fillId="2" borderId="7" xfId="2" applyFont="1" applyFill="1" applyBorder="1" applyAlignment="1">
      <alignment horizontal="left" vertical="center"/>
    </xf>
    <xf numFmtId="0" fontId="19" fillId="2" borderId="7" xfId="2" applyFont="1" applyFill="1" applyBorder="1" applyAlignment="1">
      <alignment vertical="center"/>
    </xf>
    <xf numFmtId="0" fontId="16" fillId="2" borderId="7" xfId="0" applyFont="1" applyFill="1" applyBorder="1" applyAlignment="1">
      <alignment vertical="center"/>
    </xf>
    <xf numFmtId="0" fontId="16" fillId="2" borderId="8" xfId="0" applyFont="1" applyFill="1" applyBorder="1" applyAlignment="1">
      <alignment vertical="center"/>
    </xf>
    <xf numFmtId="0" fontId="16" fillId="2" borderId="4" xfId="0" applyFont="1" applyFill="1" applyBorder="1"/>
    <xf numFmtId="0" fontId="19" fillId="2" borderId="0" xfId="2" applyFont="1" applyFill="1"/>
    <xf numFmtId="164" fontId="19" fillId="2" borderId="0" xfId="1" applyFont="1" applyFill="1" applyBorder="1" applyProtection="1"/>
    <xf numFmtId="0" fontId="16" fillId="2" borderId="0" xfId="0" applyFont="1" applyFill="1"/>
    <xf numFmtId="0" fontId="16" fillId="2" borderId="5" xfId="0" applyFont="1" applyFill="1" applyBorder="1"/>
    <xf numFmtId="0" fontId="16" fillId="0" borderId="0" xfId="0" applyFont="1"/>
    <xf numFmtId="0" fontId="18" fillId="2" borderId="11" xfId="2" applyFont="1" applyFill="1" applyBorder="1" applyAlignment="1">
      <alignment horizontal="center" vertical="center"/>
    </xf>
    <xf numFmtId="0" fontId="18" fillId="2" borderId="11" xfId="2" applyFont="1" applyFill="1" applyBorder="1" applyAlignment="1">
      <alignment horizontal="center" vertical="center" wrapText="1"/>
    </xf>
    <xf numFmtId="0" fontId="18" fillId="2" borderId="5" xfId="2" applyFont="1" applyFill="1" applyBorder="1" applyAlignment="1">
      <alignment horizontal="center" vertical="center" wrapText="1"/>
    </xf>
    <xf numFmtId="164" fontId="18" fillId="2" borderId="11" xfId="1" applyFont="1" applyFill="1" applyBorder="1" applyAlignment="1" applyProtection="1">
      <alignment horizontal="center" vertical="center" wrapText="1"/>
    </xf>
    <xf numFmtId="14" fontId="18" fillId="2" borderId="11" xfId="2" applyNumberFormat="1" applyFont="1" applyFill="1" applyBorder="1" applyAlignment="1">
      <alignment horizontal="center" vertical="center" wrapText="1"/>
    </xf>
    <xf numFmtId="166" fontId="16" fillId="0" borderId="11" xfId="1" applyNumberFormat="1" applyFont="1" applyBorder="1" applyAlignment="1">
      <alignment horizontal="right"/>
    </xf>
    <xf numFmtId="14" fontId="18" fillId="2" borderId="11" xfId="2" applyNumberFormat="1" applyFont="1" applyFill="1" applyBorder="1" applyAlignment="1">
      <alignment horizontal="center" vertical="center"/>
    </xf>
    <xf numFmtId="164" fontId="18" fillId="2" borderId="11" xfId="2" applyNumberFormat="1" applyFont="1" applyFill="1" applyBorder="1" applyAlignment="1">
      <alignment horizontal="center" vertical="center" wrapText="1"/>
    </xf>
    <xf numFmtId="164" fontId="19" fillId="0" borderId="11" xfId="1" applyFont="1" applyBorder="1" applyAlignment="1" applyProtection="1">
      <alignment horizontal="center" vertical="center" wrapText="1"/>
    </xf>
    <xf numFmtId="167" fontId="19" fillId="2" borderId="11" xfId="2" applyNumberFormat="1" applyFont="1" applyFill="1" applyBorder="1" applyAlignment="1">
      <alignment horizontal="center" vertical="center" wrapText="1"/>
    </xf>
    <xf numFmtId="0" fontId="19" fillId="2" borderId="11" xfId="2" applyFont="1" applyFill="1" applyBorder="1" applyAlignment="1">
      <alignment horizontal="center"/>
    </xf>
    <xf numFmtId="14" fontId="19" fillId="2" borderId="11" xfId="2" applyNumberFormat="1" applyFont="1" applyFill="1" applyBorder="1"/>
    <xf numFmtId="0" fontId="19" fillId="2" borderId="11" xfId="2" applyFont="1" applyFill="1" applyBorder="1"/>
    <xf numFmtId="0" fontId="19" fillId="2" borderId="5" xfId="2" applyFont="1" applyFill="1" applyBorder="1"/>
    <xf numFmtId="0" fontId="16" fillId="2" borderId="11" xfId="0" applyFont="1" applyFill="1" applyBorder="1"/>
    <xf numFmtId="164" fontId="19" fillId="2" borderId="11" xfId="1" applyFont="1" applyFill="1" applyBorder="1" applyProtection="1"/>
    <xf numFmtId="0" fontId="18" fillId="2" borderId="11" xfId="2" applyFont="1" applyFill="1" applyBorder="1" applyAlignment="1">
      <alignment vertical="center"/>
    </xf>
    <xf numFmtId="0" fontId="18" fillId="2" borderId="0" xfId="2" applyFont="1" applyFill="1" applyAlignment="1">
      <alignment horizontal="center" vertical="center"/>
    </xf>
    <xf numFmtId="3" fontId="18" fillId="2" borderId="11" xfId="2" applyNumberFormat="1" applyFont="1" applyFill="1" applyBorder="1" applyAlignment="1">
      <alignment vertical="center" wrapText="1"/>
    </xf>
    <xf numFmtId="167" fontId="19" fillId="2" borderId="10" xfId="2" applyNumberFormat="1" applyFont="1" applyFill="1" applyBorder="1" applyAlignment="1">
      <alignment vertical="center" wrapText="1"/>
    </xf>
    <xf numFmtId="0" fontId="19" fillId="2" borderId="1" xfId="2" applyFont="1" applyFill="1" applyBorder="1"/>
    <xf numFmtId="0" fontId="19" fillId="2" borderId="2" xfId="2" applyFont="1" applyFill="1" applyBorder="1"/>
    <xf numFmtId="0" fontId="18" fillId="2" borderId="4" xfId="2" applyFont="1" applyFill="1" applyBorder="1"/>
    <xf numFmtId="0" fontId="19" fillId="2" borderId="6" xfId="2" applyFont="1" applyFill="1" applyBorder="1"/>
    <xf numFmtId="0" fontId="19" fillId="2" borderId="7" xfId="2" applyFont="1" applyFill="1" applyBorder="1"/>
    <xf numFmtId="164" fontId="19" fillId="2" borderId="7" xfId="1" applyFont="1" applyFill="1" applyBorder="1" applyProtection="1"/>
    <xf numFmtId="0" fontId="16" fillId="2" borderId="6" xfId="0" applyFont="1" applyFill="1" applyBorder="1"/>
    <xf numFmtId="0" fontId="16" fillId="2" borderId="7" xfId="0" applyFont="1" applyFill="1" applyBorder="1"/>
    <xf numFmtId="0" fontId="16" fillId="2" borderId="8" xfId="0" applyFont="1" applyFill="1" applyBorder="1"/>
    <xf numFmtId="0" fontId="20" fillId="2" borderId="14" xfId="0" applyFont="1" applyFill="1" applyBorder="1" applyAlignment="1">
      <alignment horizontal="center" vertical="center" wrapText="1"/>
    </xf>
    <xf numFmtId="167" fontId="18" fillId="2" borderId="14" xfId="2" applyNumberFormat="1" applyFont="1" applyFill="1" applyBorder="1" applyAlignment="1">
      <alignment horizontal="center" vertical="center"/>
    </xf>
    <xf numFmtId="164" fontId="19" fillId="2" borderId="3" xfId="1" applyFont="1" applyFill="1" applyBorder="1" applyProtection="1"/>
    <xf numFmtId="164" fontId="19" fillId="2" borderId="5" xfId="1" applyFont="1" applyFill="1" applyBorder="1" applyProtection="1"/>
    <xf numFmtId="164" fontId="19" fillId="2" borderId="8" xfId="1" applyFont="1" applyFill="1" applyBorder="1" applyProtection="1"/>
    <xf numFmtId="0" fontId="15" fillId="2" borderId="0" xfId="0" applyFont="1" applyFill="1" applyProtection="1">
      <protection hidden="1"/>
    </xf>
    <xf numFmtId="164" fontId="2" fillId="2" borderId="9" xfId="1" applyFont="1" applyFill="1" applyBorder="1" applyProtection="1">
      <protection hidden="1"/>
    </xf>
    <xf numFmtId="164" fontId="2" fillId="2" borderId="9" xfId="1" applyFont="1" applyFill="1" applyBorder="1" applyProtection="1">
      <protection locked="0" hidden="1"/>
    </xf>
    <xf numFmtId="164" fontId="8" fillId="2" borderId="9" xfId="1" applyFont="1" applyFill="1" applyBorder="1" applyProtection="1">
      <protection hidden="1"/>
    </xf>
    <xf numFmtId="165" fontId="15" fillId="2" borderId="0" xfId="0" applyNumberFormat="1" applyFont="1" applyFill="1" applyAlignment="1" applyProtection="1">
      <alignment horizontal="left"/>
      <protection locked="0" hidden="1"/>
    </xf>
    <xf numFmtId="165" fontId="2" fillId="2" borderId="0" xfId="0" applyNumberFormat="1" applyFont="1" applyFill="1" applyAlignment="1" applyProtection="1">
      <alignment horizontal="left"/>
      <protection locked="0" hidden="1"/>
    </xf>
    <xf numFmtId="0" fontId="6" fillId="2" borderId="0" xfId="0" applyFont="1" applyFill="1" applyAlignment="1" applyProtection="1">
      <alignment horizontal="center"/>
      <protection hidden="1"/>
    </xf>
    <xf numFmtId="164" fontId="2" fillId="2" borderId="13" xfId="1" applyFont="1" applyFill="1" applyBorder="1" applyProtection="1">
      <protection hidden="1"/>
    </xf>
    <xf numFmtId="0" fontId="18" fillId="2" borderId="11" xfId="2" applyFont="1" applyFill="1" applyBorder="1" applyAlignment="1">
      <alignment horizontal="center" vertical="center" wrapText="1"/>
    </xf>
    <xf numFmtId="0" fontId="18" fillId="2" borderId="12" xfId="2" applyFont="1" applyFill="1" applyBorder="1" applyAlignment="1">
      <alignment horizontal="center" vertical="center" wrapText="1"/>
    </xf>
    <xf numFmtId="0" fontId="18" fillId="2" borderId="15" xfId="2" applyFont="1" applyFill="1" applyBorder="1" applyAlignment="1">
      <alignment horizontal="center" vertical="center" wrapText="1"/>
    </xf>
    <xf numFmtId="0" fontId="18" fillId="2" borderId="16" xfId="2" applyFont="1" applyFill="1" applyBorder="1" applyAlignment="1">
      <alignment horizontal="center" vertical="center" wrapText="1"/>
    </xf>
    <xf numFmtId="0" fontId="18" fillId="2" borderId="11" xfId="2" applyFont="1" applyFill="1" applyBorder="1" applyAlignment="1">
      <alignment horizontal="center" vertical="center"/>
    </xf>
    <xf numFmtId="164" fontId="18" fillId="2" borderId="11" xfId="1" applyFont="1" applyFill="1" applyBorder="1" applyAlignment="1" applyProtection="1">
      <alignment horizontal="center" vertical="center" wrapText="1"/>
    </xf>
    <xf numFmtId="0" fontId="18" fillId="2" borderId="9" xfId="2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8" fillId="3" borderId="4" xfId="2" applyFont="1" applyFill="1" applyBorder="1" applyAlignment="1">
      <alignment horizontal="center" vertical="center"/>
    </xf>
    <xf numFmtId="0" fontId="18" fillId="3" borderId="0" xfId="2" applyFont="1" applyFill="1" applyAlignment="1">
      <alignment horizontal="center" vertical="center"/>
    </xf>
    <xf numFmtId="0" fontId="18" fillId="3" borderId="5" xfId="2" applyFont="1" applyFill="1" applyBorder="1" applyAlignment="1">
      <alignment horizontal="center" vertical="center"/>
    </xf>
    <xf numFmtId="0" fontId="18" fillId="2" borderId="11" xfId="2" applyFont="1" applyFill="1" applyBorder="1" applyAlignment="1">
      <alignment horizontal="center" vertical="center" wrapText="1" readingOrder="1"/>
    </xf>
    <xf numFmtId="0" fontId="17" fillId="3" borderId="1" xfId="2" applyFont="1" applyFill="1" applyBorder="1" applyAlignment="1">
      <alignment vertical="center"/>
    </xf>
    <xf numFmtId="0" fontId="17" fillId="3" borderId="2" xfId="2" applyFont="1" applyFill="1" applyBorder="1" applyAlignment="1">
      <alignment vertical="center"/>
    </xf>
    <xf numFmtId="0" fontId="17" fillId="3" borderId="4" xfId="2" applyFont="1" applyFill="1" applyBorder="1" applyAlignment="1">
      <alignment vertical="center"/>
    </xf>
    <xf numFmtId="0" fontId="17" fillId="3" borderId="0" xfId="2" applyFont="1" applyFill="1" applyAlignment="1">
      <alignment vertical="center"/>
    </xf>
    <xf numFmtId="164" fontId="18" fillId="3" borderId="4" xfId="1" applyFont="1" applyFill="1" applyBorder="1" applyAlignment="1" applyProtection="1">
      <alignment horizontal="center" vertical="center" wrapText="1"/>
    </xf>
    <xf numFmtId="164" fontId="18" fillId="3" borderId="0" xfId="1" applyFont="1" applyFill="1" applyBorder="1" applyAlignment="1" applyProtection="1">
      <alignment horizontal="center" vertical="center" wrapText="1"/>
    </xf>
    <xf numFmtId="164" fontId="18" fillId="3" borderId="5" xfId="1" applyFont="1" applyFill="1" applyBorder="1" applyAlignment="1" applyProtection="1">
      <alignment horizontal="center" vertical="center" wrapText="1"/>
    </xf>
  </cellXfs>
  <cellStyles count="4">
    <cellStyle name="Lien hypertexte" xfId="3" builtinId="8"/>
    <cellStyle name="Milliers" xfId="1" builtinId="3"/>
    <cellStyle name="Normal" xfId="0" builtinId="0"/>
    <cellStyle name="Normal_Copie de DECLARAT° AMIT&amp;CNAPS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205560</xdr:colOff>
      <xdr:row>7</xdr:row>
      <xdr:rowOff>100440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768320" cy="155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1980197</xdr:colOff>
      <xdr:row>9</xdr:row>
      <xdr:rowOff>137862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594309"/>
          <a:ext cx="1980197" cy="2030329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nasoakoja@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"/>
  <sheetViews>
    <sheetView tabSelected="1" zoomScaleNormal="100" workbookViewId="0">
      <selection activeCell="J11" sqref="J11"/>
    </sheetView>
  </sheetViews>
  <sheetFormatPr baseColWidth="10" defaultColWidth="11.5703125" defaultRowHeight="15"/>
  <cols>
    <col min="1" max="1" width="17.5703125" style="1" customWidth="1"/>
    <col min="2" max="7" width="11.5703125" style="1"/>
    <col min="8" max="8" width="12.85546875" style="1" bestFit="1" customWidth="1"/>
    <col min="9" max="1024" width="11.5703125" style="1"/>
  </cols>
  <sheetData>
    <row r="1" spans="1:8" ht="16.5">
      <c r="A1" s="2"/>
      <c r="B1" s="2"/>
      <c r="C1" s="2"/>
      <c r="D1" s="2"/>
      <c r="E1" s="2"/>
      <c r="F1" s="2"/>
      <c r="G1" s="2"/>
    </row>
    <row r="2" spans="1:8" ht="16.5">
      <c r="A2" s="2"/>
      <c r="B2" s="3"/>
      <c r="C2" s="2"/>
      <c r="D2" s="2"/>
      <c r="E2" s="2"/>
      <c r="F2" s="2"/>
      <c r="G2" s="2"/>
    </row>
    <row r="3" spans="1:8" ht="16.5">
      <c r="A3" s="2"/>
      <c r="B3" s="4"/>
      <c r="C3" s="2"/>
      <c r="D3" s="2"/>
      <c r="E3" s="2"/>
      <c r="F3" s="2"/>
      <c r="G3" s="2"/>
    </row>
    <row r="4" spans="1:8" ht="16.5">
      <c r="A4" s="2"/>
      <c r="B4" s="4"/>
      <c r="C4" s="2"/>
      <c r="D4" s="2"/>
      <c r="E4" s="2"/>
      <c r="F4" s="2"/>
      <c r="G4" s="2"/>
    </row>
    <row r="5" spans="1:8">
      <c r="A5" s="5"/>
      <c r="B5" s="5"/>
      <c r="C5" s="93" t="s">
        <v>0</v>
      </c>
      <c r="D5" s="93"/>
      <c r="E5" s="93"/>
      <c r="F5" s="93"/>
      <c r="G5" s="93"/>
      <c r="H5" s="6"/>
    </row>
    <row r="7" spans="1:8" ht="16.5">
      <c r="D7" s="87" t="s">
        <v>80</v>
      </c>
    </row>
    <row r="8" spans="1:8" ht="16.5">
      <c r="A8" s="2"/>
      <c r="B8" s="2"/>
      <c r="D8" s="7"/>
      <c r="E8" s="2"/>
      <c r="F8" s="2"/>
      <c r="G8" s="2"/>
    </row>
    <row r="9" spans="1:8" ht="16.5">
      <c r="A9" s="2"/>
      <c r="B9" s="2"/>
      <c r="C9" s="2"/>
      <c r="D9" s="2"/>
      <c r="E9" s="2"/>
      <c r="F9" s="2"/>
      <c r="G9" s="2"/>
    </row>
    <row r="10" spans="1:8" ht="16.5">
      <c r="A10" s="8" t="s">
        <v>1</v>
      </c>
      <c r="B10" s="9"/>
      <c r="C10" s="10" t="s">
        <v>49</v>
      </c>
      <c r="D10" s="9"/>
      <c r="E10" s="9"/>
      <c r="F10" s="9"/>
      <c r="G10" s="11"/>
    </row>
    <row r="11" spans="1:8" ht="16.5">
      <c r="A11" s="12" t="s">
        <v>2</v>
      </c>
      <c r="B11" s="2"/>
      <c r="C11" s="24" t="s">
        <v>67</v>
      </c>
      <c r="D11" s="2"/>
      <c r="E11" s="2"/>
      <c r="F11" s="2"/>
      <c r="G11" s="13"/>
    </row>
    <row r="12" spans="1:8" ht="16.5">
      <c r="A12" s="12" t="s">
        <v>3</v>
      </c>
      <c r="B12" s="2"/>
      <c r="C12" s="7" t="s">
        <v>50</v>
      </c>
      <c r="D12" s="2"/>
      <c r="E12" s="2"/>
      <c r="F12" s="2"/>
      <c r="G12" s="13"/>
    </row>
    <row r="13" spans="1:8" ht="16.5">
      <c r="A13" s="12" t="s">
        <v>4</v>
      </c>
      <c r="B13" s="2"/>
      <c r="C13" s="22" t="s">
        <v>51</v>
      </c>
      <c r="D13" s="2"/>
      <c r="E13" s="2"/>
      <c r="F13" s="2"/>
      <c r="G13" s="13"/>
    </row>
    <row r="14" spans="1:8" ht="16.5">
      <c r="A14" s="14" t="s">
        <v>5</v>
      </c>
      <c r="B14" s="15"/>
      <c r="C14" s="16" t="s">
        <v>52</v>
      </c>
      <c r="D14" s="15"/>
      <c r="E14" s="15"/>
      <c r="F14" s="15"/>
      <c r="G14" s="17"/>
    </row>
    <row r="15" spans="1:8" ht="16.5">
      <c r="A15" s="2"/>
      <c r="B15" s="2"/>
      <c r="C15" s="2"/>
      <c r="D15" s="2"/>
      <c r="E15" s="2"/>
      <c r="F15" s="2"/>
      <c r="G15" s="2"/>
    </row>
    <row r="16" spans="1:8" ht="16.5">
      <c r="A16" s="2"/>
      <c r="B16" s="2"/>
      <c r="C16" s="2"/>
      <c r="D16" s="2"/>
      <c r="E16" s="2"/>
      <c r="F16" s="2"/>
      <c r="G16" s="2"/>
    </row>
    <row r="17" spans="1:8" ht="16.5">
      <c r="A17" s="2" t="s">
        <v>6</v>
      </c>
      <c r="B17" s="2"/>
      <c r="C17" s="2"/>
      <c r="D17" s="2"/>
      <c r="E17" s="88">
        <v>2</v>
      </c>
      <c r="F17" s="88"/>
      <c r="G17" s="18"/>
    </row>
    <row r="18" spans="1:8" ht="16.5">
      <c r="A18" s="2"/>
      <c r="B18" s="2"/>
      <c r="C18" s="2"/>
      <c r="D18" s="2"/>
      <c r="E18" s="2"/>
      <c r="F18" s="2"/>
      <c r="G18" s="2"/>
    </row>
    <row r="19" spans="1:8" ht="16.5">
      <c r="A19" s="2" t="s">
        <v>7</v>
      </c>
      <c r="B19" s="2"/>
      <c r="C19" s="2"/>
      <c r="D19" s="2"/>
      <c r="E19" s="88"/>
      <c r="F19" s="88"/>
      <c r="G19" s="18"/>
    </row>
    <row r="20" spans="1:8" ht="16.5">
      <c r="A20" s="2"/>
      <c r="B20" s="2"/>
      <c r="C20" s="2"/>
      <c r="D20" s="2"/>
      <c r="E20" s="2"/>
      <c r="F20" s="2"/>
      <c r="G20" s="2"/>
    </row>
    <row r="21" spans="1:8" ht="16.5">
      <c r="A21" s="2" t="s">
        <v>8</v>
      </c>
      <c r="B21" s="2"/>
      <c r="C21" s="2"/>
      <c r="D21" s="2"/>
      <c r="E21" s="88">
        <f>DNS!B30*5%</f>
        <v>277500</v>
      </c>
      <c r="F21" s="94"/>
      <c r="G21" s="18"/>
      <c r="H21" s="23"/>
    </row>
    <row r="22" spans="1:8" ht="16.5">
      <c r="A22" s="2"/>
      <c r="B22" s="2"/>
      <c r="C22" s="2"/>
      <c r="D22" s="2"/>
      <c r="E22" s="2"/>
      <c r="F22" s="2"/>
      <c r="G22" s="2"/>
    </row>
    <row r="23" spans="1:8" ht="16.5">
      <c r="A23" s="2" t="s">
        <v>9</v>
      </c>
      <c r="B23" s="2"/>
      <c r="C23" s="2"/>
      <c r="D23" s="2"/>
      <c r="E23" s="88">
        <f>DNS!B30*1%</f>
        <v>55500</v>
      </c>
      <c r="F23" s="88"/>
      <c r="G23" s="18"/>
      <c r="H23" s="23"/>
    </row>
    <row r="24" spans="1:8" ht="16.5">
      <c r="A24" s="2"/>
      <c r="B24" s="2"/>
      <c r="C24" s="2"/>
      <c r="D24" s="2"/>
      <c r="E24" s="2"/>
      <c r="F24" s="2"/>
      <c r="G24" s="2"/>
    </row>
    <row r="25" spans="1:8" ht="16.5">
      <c r="A25" s="2" t="s">
        <v>10</v>
      </c>
      <c r="B25" s="2"/>
      <c r="C25" s="2"/>
      <c r="D25" s="2"/>
      <c r="E25" s="88">
        <f>E21+E23</f>
        <v>333000</v>
      </c>
      <c r="F25" s="88"/>
      <c r="G25" s="18"/>
      <c r="H25" s="23"/>
    </row>
    <row r="26" spans="1:8" ht="16.5">
      <c r="A26" s="2"/>
      <c r="B26" s="2"/>
      <c r="C26" s="2"/>
      <c r="D26" s="2"/>
      <c r="E26" s="2"/>
      <c r="F26" s="2"/>
      <c r="G26" s="2"/>
    </row>
    <row r="27" spans="1:8" ht="16.5">
      <c r="A27" s="2" t="s">
        <v>11</v>
      </c>
      <c r="B27" s="2"/>
      <c r="C27" s="2"/>
      <c r="D27" s="2"/>
      <c r="E27" s="89"/>
      <c r="F27" s="89"/>
      <c r="G27" s="18"/>
    </row>
    <row r="28" spans="1:8" ht="16.5">
      <c r="A28" s="2"/>
      <c r="B28" s="2"/>
      <c r="C28" s="2"/>
      <c r="D28" s="2"/>
      <c r="E28" s="2"/>
      <c r="F28" s="2"/>
      <c r="G28" s="2"/>
    </row>
    <row r="29" spans="1:8" ht="16.5">
      <c r="A29" s="2" t="s">
        <v>12</v>
      </c>
      <c r="B29" s="2"/>
      <c r="C29" s="2"/>
      <c r="D29" s="2"/>
      <c r="E29" s="89"/>
      <c r="F29" s="89"/>
      <c r="G29" s="18"/>
    </row>
    <row r="30" spans="1:8" ht="16.5">
      <c r="A30" s="2"/>
      <c r="B30" s="2"/>
      <c r="C30" s="2"/>
      <c r="D30" s="2"/>
      <c r="E30" s="2"/>
      <c r="F30" s="2"/>
      <c r="G30" s="2"/>
    </row>
    <row r="31" spans="1:8" ht="16.5">
      <c r="A31" s="2" t="s">
        <v>13</v>
      </c>
      <c r="B31" s="2"/>
      <c r="C31" s="2"/>
      <c r="D31" s="2"/>
      <c r="E31" s="90">
        <f>E25</f>
        <v>333000</v>
      </c>
      <c r="F31" s="90"/>
      <c r="G31" s="18"/>
    </row>
    <row r="32" spans="1:8" ht="16.5">
      <c r="A32" s="2"/>
      <c r="B32" s="2"/>
      <c r="C32" s="2"/>
      <c r="D32" s="2"/>
      <c r="E32" s="2"/>
      <c r="F32" s="2"/>
      <c r="G32" s="2"/>
    </row>
    <row r="33" spans="1:7" ht="16.5">
      <c r="A33" s="2"/>
      <c r="B33" s="2"/>
      <c r="C33" s="2"/>
      <c r="D33" s="2"/>
      <c r="E33" s="2"/>
      <c r="F33" s="2"/>
      <c r="G33" s="2"/>
    </row>
    <row r="34" spans="1:7" ht="16.5">
      <c r="A34" s="2"/>
      <c r="B34" s="2"/>
      <c r="G34" s="2"/>
    </row>
    <row r="35" spans="1:7" ht="16.5">
      <c r="A35" s="2"/>
      <c r="B35" s="2"/>
      <c r="G35" s="2"/>
    </row>
    <row r="36" spans="1:7" ht="16.5">
      <c r="A36" s="2"/>
      <c r="B36" s="2"/>
      <c r="G36" s="2"/>
    </row>
    <row r="37" spans="1:7" ht="16.5">
      <c r="A37" s="2"/>
      <c r="B37" s="2"/>
      <c r="D37" s="87" t="s">
        <v>14</v>
      </c>
      <c r="E37" s="2"/>
      <c r="F37" s="91" t="s">
        <v>79</v>
      </c>
      <c r="G37" s="92"/>
    </row>
    <row r="38" spans="1:7" ht="16.5">
      <c r="A38" s="2"/>
      <c r="B38" s="2"/>
      <c r="D38" s="2"/>
      <c r="E38" s="2"/>
      <c r="F38" s="2"/>
      <c r="G38" s="2"/>
    </row>
    <row r="39" spans="1:7" ht="16.5">
      <c r="A39" s="2"/>
      <c r="B39" s="2"/>
      <c r="C39" s="2"/>
      <c r="D39" s="19" t="s">
        <v>15</v>
      </c>
      <c r="E39" s="20"/>
      <c r="F39" s="20"/>
      <c r="G39" s="20"/>
    </row>
    <row r="40" spans="1:7" ht="16.5">
      <c r="A40" s="2"/>
      <c r="B40" s="2"/>
      <c r="C40" s="2"/>
      <c r="D40" s="2"/>
      <c r="E40" s="2"/>
      <c r="F40" s="2"/>
      <c r="G40" s="2"/>
    </row>
    <row r="41" spans="1:7" ht="16.5">
      <c r="A41" s="2"/>
      <c r="B41" s="2"/>
      <c r="C41" s="2"/>
      <c r="D41" s="20" t="s">
        <v>16</v>
      </c>
      <c r="E41" s="2"/>
      <c r="F41" s="2"/>
      <c r="G41" s="2"/>
    </row>
    <row r="42" spans="1:7" ht="16.5">
      <c r="A42" s="2"/>
      <c r="B42" s="2"/>
      <c r="C42" s="2"/>
      <c r="D42" s="2"/>
      <c r="E42" s="2"/>
      <c r="F42" s="2"/>
      <c r="G42" s="2"/>
    </row>
    <row r="46" spans="1:7" ht="16.5">
      <c r="A46" s="21" t="s">
        <v>17</v>
      </c>
      <c r="B46" s="2"/>
      <c r="C46" s="2"/>
      <c r="D46" s="2"/>
      <c r="E46" s="2"/>
      <c r="F46" s="2"/>
      <c r="G46" s="2"/>
    </row>
    <row r="47" spans="1:7" ht="16.5">
      <c r="A47" s="2" t="s">
        <v>18</v>
      </c>
      <c r="B47" s="2"/>
      <c r="C47" s="2"/>
      <c r="D47" s="2"/>
      <c r="E47" s="2"/>
      <c r="F47" s="2"/>
      <c r="G47" s="2"/>
    </row>
    <row r="48" spans="1:7" ht="16.5">
      <c r="A48" s="2" t="s">
        <v>19</v>
      </c>
      <c r="B48" s="2"/>
      <c r="C48" s="2"/>
      <c r="D48" s="2"/>
      <c r="E48" s="2"/>
      <c r="F48" s="2"/>
      <c r="G48" s="2"/>
    </row>
    <row r="49" spans="1:7" ht="16.5">
      <c r="A49" s="2" t="s">
        <v>20</v>
      </c>
      <c r="B49" s="2"/>
      <c r="C49" s="2"/>
      <c r="D49" s="2"/>
      <c r="E49" s="2"/>
      <c r="F49" s="2"/>
      <c r="G49" s="2"/>
    </row>
    <row r="50" spans="1:7" ht="16.5">
      <c r="A50" s="2" t="s">
        <v>21</v>
      </c>
      <c r="B50" s="2"/>
      <c r="C50" s="2"/>
      <c r="D50" s="2"/>
      <c r="E50" s="2"/>
      <c r="F50" s="2"/>
      <c r="G50" s="2"/>
    </row>
    <row r="51" spans="1:7" ht="16.5">
      <c r="A51" s="2" t="s">
        <v>22</v>
      </c>
      <c r="B51" s="2"/>
      <c r="C51" s="2"/>
      <c r="D51" s="2"/>
      <c r="E51" s="2"/>
      <c r="F51" s="2"/>
      <c r="G51" s="2"/>
    </row>
  </sheetData>
  <mergeCells count="10">
    <mergeCell ref="C5:G5"/>
    <mergeCell ref="E17:F17"/>
    <mergeCell ref="E19:F19"/>
    <mergeCell ref="E21:F21"/>
    <mergeCell ref="E23:F23"/>
    <mergeCell ref="E25:F25"/>
    <mergeCell ref="E27:F27"/>
    <mergeCell ref="E29:F29"/>
    <mergeCell ref="E31:F31"/>
    <mergeCell ref="F37:G37"/>
  </mergeCells>
  <hyperlinks>
    <hyperlink ref="C13" r:id="rId1" xr:uid="{07D5C421-36AD-4447-A29F-660B26FA5C49}"/>
  </hyperlinks>
  <pageMargins left="0.59027777777777801" right="0" top="0" bottom="0" header="0.511811023622047" footer="0.511811023622047"/>
  <pageSetup paperSize="9" orientation="portrait" horizontalDpi="4294967293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Z31"/>
  <sheetViews>
    <sheetView view="pageBreakPreview" topLeftCell="A2" zoomScaleNormal="77" zoomScaleSheetLayoutView="100" workbookViewId="0">
      <selection activeCell="N23" sqref="N23"/>
    </sheetView>
  </sheetViews>
  <sheetFormatPr baseColWidth="10" defaultColWidth="11.5703125" defaultRowHeight="15.75"/>
  <cols>
    <col min="1" max="1" width="30.140625" style="50" customWidth="1"/>
    <col min="2" max="2" width="23.28515625" style="50" customWidth="1"/>
    <col min="3" max="3" width="10.28515625" style="50" customWidth="1"/>
    <col min="4" max="4" width="12.85546875" style="50" customWidth="1"/>
    <col min="5" max="5" width="19.85546875" style="50" customWidth="1"/>
    <col min="6" max="6" width="10.140625" style="50" customWidth="1"/>
    <col min="7" max="7" width="11.140625" style="50" hidden="1" customWidth="1"/>
    <col min="8" max="9" width="10.85546875" style="50" hidden="1" customWidth="1"/>
    <col min="10" max="10" width="10" style="50" hidden="1" customWidth="1"/>
    <col min="11" max="13" width="19.85546875" style="50" customWidth="1"/>
    <col min="14" max="14" width="17.28515625" style="50" customWidth="1"/>
    <col min="15" max="16" width="14.7109375" style="50" customWidth="1"/>
    <col min="17" max="17" width="15.140625" style="50" customWidth="1"/>
    <col min="18" max="18" width="10.28515625" style="50" hidden="1" customWidth="1"/>
    <col min="19" max="19" width="10.28515625" style="50" customWidth="1"/>
    <col min="20" max="988" width="11.5703125" style="50"/>
    <col min="989" max="16384" width="11.5703125" style="52"/>
  </cols>
  <sheetData>
    <row r="1" spans="1:988" s="33" customFormat="1" ht="14.25" customHeight="1">
      <c r="A1" s="25"/>
      <c r="B1" s="108" t="s">
        <v>23</v>
      </c>
      <c r="C1" s="109"/>
      <c r="D1" s="26"/>
      <c r="E1" s="27" t="s">
        <v>53</v>
      </c>
      <c r="F1" s="28"/>
      <c r="G1" s="28"/>
      <c r="H1" s="28"/>
      <c r="I1" s="29"/>
      <c r="J1" s="29"/>
      <c r="K1" s="29"/>
      <c r="L1" s="29"/>
      <c r="M1" s="29"/>
      <c r="N1" s="29"/>
      <c r="O1" s="29"/>
      <c r="P1" s="29"/>
      <c r="Q1" s="30"/>
      <c r="R1" s="31"/>
      <c r="S1" s="32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</row>
    <row r="2" spans="1:988" s="33" customFormat="1" ht="14.25" customHeight="1">
      <c r="A2" s="25"/>
      <c r="B2" s="110"/>
      <c r="C2" s="111"/>
      <c r="D2" s="34"/>
      <c r="E2" s="35" t="s">
        <v>78</v>
      </c>
      <c r="F2" s="36"/>
      <c r="G2" s="36"/>
      <c r="H2" s="36"/>
      <c r="I2" s="31"/>
      <c r="J2" s="31"/>
      <c r="K2" s="31"/>
      <c r="L2" s="31"/>
      <c r="M2" s="31"/>
      <c r="N2" s="31"/>
      <c r="O2" s="31"/>
      <c r="P2" s="31"/>
      <c r="Q2" s="32"/>
      <c r="R2" s="31"/>
      <c r="S2" s="32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</row>
    <row r="3" spans="1:988" s="33" customFormat="1" ht="26.25" customHeight="1">
      <c r="A3" s="25"/>
      <c r="B3" s="112" t="s">
        <v>24</v>
      </c>
      <c r="C3" s="113"/>
      <c r="D3" s="114"/>
      <c r="E3" s="35" t="s">
        <v>54</v>
      </c>
      <c r="F3" s="36"/>
      <c r="G3" s="36"/>
      <c r="H3" s="36"/>
      <c r="I3" s="31"/>
      <c r="J3" s="31"/>
      <c r="K3" s="31"/>
      <c r="L3" s="31"/>
      <c r="M3" s="31"/>
      <c r="N3" s="31"/>
      <c r="O3" s="31"/>
      <c r="P3" s="31"/>
      <c r="Q3" s="32"/>
      <c r="R3" s="31"/>
      <c r="S3" s="32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</row>
    <row r="4" spans="1:988" s="33" customFormat="1">
      <c r="A4" s="25"/>
      <c r="B4" s="37"/>
      <c r="C4" s="38"/>
      <c r="D4" s="39"/>
      <c r="E4" s="35" t="s">
        <v>64</v>
      </c>
      <c r="F4" s="36"/>
      <c r="G4" s="36"/>
      <c r="H4" s="36"/>
      <c r="I4" s="31"/>
      <c r="J4" s="31"/>
      <c r="K4" s="31"/>
      <c r="L4" s="31"/>
      <c r="M4" s="31"/>
      <c r="N4" s="31"/>
      <c r="O4" s="31"/>
      <c r="P4" s="31"/>
      <c r="Q4" s="32"/>
      <c r="R4" s="31"/>
      <c r="S4" s="32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</row>
    <row r="5" spans="1:988" s="33" customFormat="1">
      <c r="A5" s="25"/>
      <c r="B5" s="104" t="s">
        <v>25</v>
      </c>
      <c r="C5" s="105"/>
      <c r="D5" s="106"/>
      <c r="E5" s="35" t="s">
        <v>55</v>
      </c>
      <c r="F5" s="36"/>
      <c r="G5" s="36"/>
      <c r="H5" s="36"/>
      <c r="I5" s="31"/>
      <c r="J5" s="31"/>
      <c r="K5" s="31"/>
      <c r="L5" s="31"/>
      <c r="M5" s="31"/>
      <c r="N5" s="31"/>
      <c r="O5" s="31"/>
      <c r="P5" s="31"/>
      <c r="Q5" s="32"/>
      <c r="R5" s="31"/>
      <c r="S5" s="32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</row>
    <row r="6" spans="1:988" s="33" customFormat="1">
      <c r="A6" s="25"/>
      <c r="B6" s="104" t="s">
        <v>26</v>
      </c>
      <c r="C6" s="105"/>
      <c r="D6" s="106"/>
      <c r="E6" s="35" t="s">
        <v>56</v>
      </c>
      <c r="F6" s="36"/>
      <c r="G6" s="36"/>
      <c r="H6" s="36"/>
      <c r="I6" s="31"/>
      <c r="J6" s="31"/>
      <c r="K6" s="31"/>
      <c r="L6" s="31"/>
      <c r="M6" s="31"/>
      <c r="N6" s="31"/>
      <c r="O6" s="31"/>
      <c r="P6" s="31"/>
      <c r="Q6" s="32"/>
      <c r="R6" s="31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</row>
    <row r="7" spans="1:988" s="33" customFormat="1">
      <c r="A7" s="25"/>
      <c r="B7" s="104" t="s">
        <v>27</v>
      </c>
      <c r="C7" s="105"/>
      <c r="D7" s="106"/>
      <c r="E7" s="35" t="s">
        <v>57</v>
      </c>
      <c r="F7" s="36"/>
      <c r="G7" s="36"/>
      <c r="H7" s="36"/>
      <c r="I7" s="31"/>
      <c r="J7" s="31"/>
      <c r="K7" s="31"/>
      <c r="L7" s="31"/>
      <c r="M7" s="31"/>
      <c r="N7" s="31"/>
      <c r="O7" s="31"/>
      <c r="P7" s="31"/>
      <c r="Q7" s="32"/>
      <c r="R7" s="31"/>
      <c r="S7" s="32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</row>
    <row r="8" spans="1:988" s="33" customFormat="1">
      <c r="A8" s="25"/>
      <c r="B8" s="104" t="s">
        <v>28</v>
      </c>
      <c r="C8" s="105"/>
      <c r="D8" s="106"/>
      <c r="E8" s="35" t="s">
        <v>81</v>
      </c>
      <c r="F8" s="36"/>
      <c r="G8" s="36"/>
      <c r="H8" s="36"/>
      <c r="I8" s="31"/>
      <c r="J8" s="31"/>
      <c r="K8" s="31"/>
      <c r="L8" s="31"/>
      <c r="M8" s="31"/>
      <c r="N8" s="31"/>
      <c r="O8" s="31"/>
      <c r="P8" s="31"/>
      <c r="Q8" s="32"/>
      <c r="R8" s="31"/>
      <c r="S8" s="32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</row>
    <row r="9" spans="1:988" s="33" customFormat="1">
      <c r="A9" s="25"/>
      <c r="B9" s="104" t="s">
        <v>29</v>
      </c>
      <c r="C9" s="105"/>
      <c r="D9" s="106"/>
      <c r="E9" s="35" t="s">
        <v>30</v>
      </c>
      <c r="F9" s="36"/>
      <c r="G9" s="36"/>
      <c r="H9" s="36"/>
      <c r="I9" s="31"/>
      <c r="J9" s="31"/>
      <c r="K9" s="31"/>
      <c r="L9" s="31"/>
      <c r="M9" s="31"/>
      <c r="N9" s="31"/>
      <c r="O9" s="31"/>
      <c r="P9" s="31"/>
      <c r="Q9" s="32"/>
      <c r="R9" s="31"/>
      <c r="S9" s="32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</row>
    <row r="10" spans="1:988" s="33" customFormat="1">
      <c r="A10" s="25"/>
      <c r="B10" s="40"/>
      <c r="C10" s="41"/>
      <c r="D10" s="42"/>
      <c r="E10" s="43" t="s">
        <v>31</v>
      </c>
      <c r="F10" s="44"/>
      <c r="G10" s="44"/>
      <c r="H10" s="44"/>
      <c r="I10" s="45"/>
      <c r="J10" s="45"/>
      <c r="K10" s="45"/>
      <c r="L10" s="45"/>
      <c r="M10" s="45"/>
      <c r="N10" s="45"/>
      <c r="O10" s="45"/>
      <c r="P10" s="45"/>
      <c r="Q10" s="46"/>
      <c r="R10" s="31"/>
      <c r="S10" s="32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</row>
    <row r="11" spans="1:988">
      <c r="A11" s="47"/>
      <c r="B11" s="48"/>
      <c r="C11" s="48"/>
      <c r="D11" s="48"/>
      <c r="E11" s="48"/>
      <c r="F11" s="48"/>
      <c r="G11" s="48"/>
      <c r="H11" s="49"/>
      <c r="S11" s="51"/>
    </row>
    <row r="12" spans="1:988" ht="15.75" customHeight="1">
      <c r="A12" s="99" t="s">
        <v>33</v>
      </c>
      <c r="B12" s="99" t="s">
        <v>32</v>
      </c>
      <c r="C12" s="95" t="s">
        <v>75</v>
      </c>
      <c r="D12" s="107" t="s">
        <v>34</v>
      </c>
      <c r="E12" s="95" t="s">
        <v>35</v>
      </c>
      <c r="F12" s="99" t="s">
        <v>36</v>
      </c>
      <c r="G12" s="99" t="s">
        <v>37</v>
      </c>
      <c r="H12" s="99"/>
      <c r="I12" s="53"/>
      <c r="J12" s="95" t="s">
        <v>39</v>
      </c>
      <c r="K12" s="101" t="s">
        <v>38</v>
      </c>
      <c r="L12" s="102"/>
      <c r="M12" s="103"/>
      <c r="N12" s="95" t="s">
        <v>40</v>
      </c>
      <c r="O12" s="96" t="s">
        <v>72</v>
      </c>
      <c r="P12" s="96" t="s">
        <v>73</v>
      </c>
      <c r="Q12" s="96" t="s">
        <v>74</v>
      </c>
      <c r="R12" s="96" t="s">
        <v>41</v>
      </c>
      <c r="S12" s="55"/>
    </row>
    <row r="13" spans="1:988" ht="15.75" customHeight="1">
      <c r="A13" s="99"/>
      <c r="B13" s="99"/>
      <c r="C13" s="95"/>
      <c r="D13" s="107"/>
      <c r="E13" s="95"/>
      <c r="F13" s="99"/>
      <c r="G13" s="99" t="s">
        <v>42</v>
      </c>
      <c r="H13" s="99" t="s">
        <v>43</v>
      </c>
      <c r="I13" s="95" t="s">
        <v>44</v>
      </c>
      <c r="J13" s="95"/>
      <c r="K13" s="100" t="s">
        <v>69</v>
      </c>
      <c r="L13" s="100" t="s">
        <v>70</v>
      </c>
      <c r="M13" s="100" t="s">
        <v>71</v>
      </c>
      <c r="N13" s="95"/>
      <c r="O13" s="97"/>
      <c r="P13" s="97"/>
      <c r="Q13" s="97"/>
      <c r="R13" s="95"/>
      <c r="S13" s="55"/>
    </row>
    <row r="14" spans="1:988" ht="57.75" customHeight="1">
      <c r="A14" s="99"/>
      <c r="B14" s="99"/>
      <c r="C14" s="95"/>
      <c r="D14" s="107"/>
      <c r="E14" s="95"/>
      <c r="F14" s="99"/>
      <c r="G14" s="99"/>
      <c r="H14" s="99"/>
      <c r="I14" s="95"/>
      <c r="J14" s="95"/>
      <c r="K14" s="100"/>
      <c r="L14" s="100"/>
      <c r="M14" s="100"/>
      <c r="N14" s="95"/>
      <c r="O14" s="98"/>
      <c r="P14" s="98"/>
      <c r="Q14" s="98"/>
      <c r="R14" s="96"/>
      <c r="S14" s="55"/>
    </row>
    <row r="15" spans="1:988" ht="17.100000000000001" customHeight="1">
      <c r="A15" s="53" t="s">
        <v>58</v>
      </c>
      <c r="B15" s="53" t="s">
        <v>59</v>
      </c>
      <c r="C15" s="54" t="s">
        <v>65</v>
      </c>
      <c r="D15" s="57">
        <v>33594</v>
      </c>
      <c r="E15" s="58">
        <v>312012020745</v>
      </c>
      <c r="F15" s="53" t="s">
        <v>60</v>
      </c>
      <c r="G15" s="59">
        <v>44562</v>
      </c>
      <c r="H15" s="53"/>
      <c r="I15" s="54"/>
      <c r="J15" s="54"/>
      <c r="K15" s="56">
        <v>1300000</v>
      </c>
      <c r="L15" s="56">
        <v>1300000</v>
      </c>
      <c r="M15" s="56">
        <v>1300000</v>
      </c>
      <c r="N15" s="60">
        <f>K15+L15+M15</f>
        <v>3900000</v>
      </c>
      <c r="O15" s="61">
        <f>N15*1%</f>
        <v>39000</v>
      </c>
      <c r="P15" s="61">
        <f>N15*5%</f>
        <v>195000</v>
      </c>
      <c r="Q15" s="62">
        <f>O15+P15</f>
        <v>234000</v>
      </c>
      <c r="R15" s="54"/>
      <c r="S15" s="55"/>
    </row>
    <row r="16" spans="1:988" ht="17.100000000000001" customHeight="1">
      <c r="A16" s="53" t="s">
        <v>61</v>
      </c>
      <c r="B16" s="53" t="s">
        <v>62</v>
      </c>
      <c r="C16" s="54" t="s">
        <v>65</v>
      </c>
      <c r="D16" s="57">
        <v>36757</v>
      </c>
      <c r="E16" s="58">
        <v>106501017655</v>
      </c>
      <c r="F16" s="63" t="s">
        <v>63</v>
      </c>
      <c r="G16" s="59">
        <v>44562</v>
      </c>
      <c r="H16" s="64"/>
      <c r="I16" s="65"/>
      <c r="J16" s="63"/>
      <c r="K16" s="56">
        <v>550000</v>
      </c>
      <c r="L16" s="56">
        <v>550000</v>
      </c>
      <c r="M16" s="56">
        <v>550000</v>
      </c>
      <c r="N16" s="60">
        <f t="shared" ref="N16:N17" si="0">K16+L16+M16</f>
        <v>1650000</v>
      </c>
      <c r="O16" s="61">
        <f>N16*1%</f>
        <v>16500</v>
      </c>
      <c r="P16" s="61">
        <f>N16*5%</f>
        <v>82500</v>
      </c>
      <c r="Q16" s="62">
        <f>O16+P16</f>
        <v>99000</v>
      </c>
      <c r="R16" s="65">
        <v>2</v>
      </c>
      <c r="S16" s="66"/>
    </row>
    <row r="17" spans="1:19" ht="17.100000000000001" customHeight="1">
      <c r="A17" s="67"/>
      <c r="B17" s="65"/>
      <c r="C17" s="65"/>
      <c r="D17" s="65"/>
      <c r="E17" s="63"/>
      <c r="F17" s="65"/>
      <c r="G17" s="65"/>
      <c r="H17" s="68"/>
      <c r="I17" s="65"/>
      <c r="J17" s="65"/>
      <c r="K17" s="65"/>
      <c r="L17" s="65"/>
      <c r="M17" s="65"/>
      <c r="N17" s="60">
        <f t="shared" si="0"/>
        <v>0</v>
      </c>
      <c r="O17" s="60"/>
      <c r="P17" s="60"/>
      <c r="Q17" s="65"/>
      <c r="R17" s="67"/>
      <c r="S17" s="51"/>
    </row>
    <row r="18" spans="1:19">
      <c r="A18" s="69" t="s">
        <v>45</v>
      </c>
      <c r="B18" s="67"/>
      <c r="C18" s="69"/>
      <c r="D18" s="69"/>
      <c r="E18" s="63"/>
      <c r="F18" s="65"/>
      <c r="G18" s="70" t="s">
        <v>46</v>
      </c>
      <c r="H18" s="56"/>
      <c r="I18" s="65"/>
      <c r="J18" s="71"/>
      <c r="K18" s="72">
        <f>SUM(K15:K16)</f>
        <v>1850000</v>
      </c>
      <c r="L18" s="72">
        <f t="shared" ref="L18:P18" si="1">SUM(L15:L16)</f>
        <v>1850000</v>
      </c>
      <c r="M18" s="72">
        <f t="shared" si="1"/>
        <v>1850000</v>
      </c>
      <c r="N18" s="72">
        <f t="shared" si="1"/>
        <v>5550000</v>
      </c>
      <c r="O18" s="72">
        <f t="shared" si="1"/>
        <v>55500</v>
      </c>
      <c r="P18" s="72">
        <f t="shared" si="1"/>
        <v>277500</v>
      </c>
      <c r="Q18" s="72">
        <f>SUM(Q15:Q16)</f>
        <v>333000</v>
      </c>
      <c r="S18" s="51"/>
    </row>
    <row r="19" spans="1:19">
      <c r="A19" s="47"/>
      <c r="B19" s="48"/>
      <c r="C19" s="48"/>
      <c r="D19" s="48"/>
      <c r="E19" s="48"/>
      <c r="F19" s="48"/>
      <c r="G19" s="48"/>
      <c r="H19" s="49"/>
      <c r="I19" s="48"/>
      <c r="J19" s="48"/>
      <c r="K19" s="48"/>
      <c r="L19" s="48"/>
      <c r="M19" s="48"/>
      <c r="N19" s="48"/>
      <c r="O19" s="48"/>
      <c r="P19" s="48"/>
      <c r="Q19" s="48"/>
      <c r="S19" s="51"/>
    </row>
    <row r="20" spans="1:19">
      <c r="A20" s="47"/>
      <c r="B20" s="48"/>
      <c r="C20" s="48"/>
      <c r="D20" s="48"/>
      <c r="E20" s="48"/>
      <c r="F20" s="48"/>
      <c r="G20" s="48"/>
      <c r="H20" s="49"/>
      <c r="I20" s="48"/>
      <c r="J20" s="48"/>
      <c r="K20" s="48"/>
      <c r="L20" s="48"/>
      <c r="M20" s="48"/>
      <c r="N20" s="48"/>
      <c r="O20" s="48"/>
      <c r="P20" s="48"/>
      <c r="Q20" s="48"/>
      <c r="S20" s="51"/>
    </row>
    <row r="21" spans="1:19">
      <c r="A21" s="47"/>
      <c r="B21" s="48"/>
      <c r="C21" s="48"/>
      <c r="D21" s="48"/>
      <c r="E21" s="48"/>
      <c r="F21" s="48"/>
      <c r="G21" s="48"/>
      <c r="H21" s="49"/>
      <c r="J21" s="48" t="s">
        <v>47</v>
      </c>
      <c r="K21" s="48"/>
      <c r="L21" s="48"/>
      <c r="M21" s="48"/>
      <c r="N21" s="48"/>
      <c r="O21" s="48"/>
      <c r="P21" s="48"/>
      <c r="Q21" s="48"/>
      <c r="S21" s="51"/>
    </row>
    <row r="22" spans="1:19">
      <c r="A22" s="47"/>
      <c r="B22" s="48"/>
      <c r="C22" s="48"/>
      <c r="D22" s="48"/>
      <c r="E22" s="48"/>
      <c r="F22" s="48"/>
      <c r="G22" s="48"/>
      <c r="H22" s="49"/>
      <c r="I22" s="48"/>
      <c r="J22" s="48"/>
      <c r="K22" s="48"/>
      <c r="L22" s="48"/>
      <c r="M22" s="48"/>
      <c r="N22" s="48"/>
      <c r="O22" s="48"/>
      <c r="P22" s="48"/>
      <c r="Q22" s="48"/>
      <c r="S22" s="51"/>
    </row>
    <row r="23" spans="1:19">
      <c r="A23" s="47"/>
      <c r="B23" s="73"/>
      <c r="C23" s="74"/>
      <c r="D23" s="74"/>
      <c r="E23" s="74"/>
      <c r="F23" s="74"/>
      <c r="G23" s="74"/>
      <c r="H23" s="84"/>
      <c r="I23" s="48"/>
      <c r="J23" s="48"/>
      <c r="K23" s="48"/>
      <c r="L23" s="48"/>
      <c r="M23" s="48"/>
      <c r="N23" s="48"/>
      <c r="O23" s="48"/>
      <c r="P23" s="48"/>
      <c r="Q23" s="48"/>
      <c r="S23" s="51"/>
    </row>
    <row r="24" spans="1:19">
      <c r="A24" s="47"/>
      <c r="B24" s="75" t="s">
        <v>76</v>
      </c>
      <c r="C24" s="48"/>
      <c r="D24" s="48"/>
      <c r="E24" s="48"/>
      <c r="F24" s="48"/>
      <c r="G24" s="48"/>
      <c r="H24" s="85"/>
      <c r="J24" s="48" t="s">
        <v>15</v>
      </c>
      <c r="K24" s="48"/>
      <c r="L24" s="48"/>
      <c r="M24" s="48"/>
      <c r="N24" s="48"/>
      <c r="O24" s="48"/>
      <c r="P24" s="48"/>
      <c r="Q24" s="48"/>
      <c r="S24" s="51"/>
    </row>
    <row r="25" spans="1:19">
      <c r="A25" s="47"/>
      <c r="B25" s="75" t="s">
        <v>77</v>
      </c>
      <c r="C25" s="48"/>
      <c r="D25" s="48"/>
      <c r="E25" s="48"/>
      <c r="F25" s="48"/>
      <c r="G25" s="48"/>
      <c r="H25" s="85"/>
      <c r="I25" s="48"/>
      <c r="J25" s="48"/>
      <c r="K25" s="48"/>
      <c r="L25" s="48"/>
      <c r="M25" s="48"/>
      <c r="N25" s="48"/>
      <c r="O25" s="48"/>
      <c r="P25" s="48"/>
      <c r="Q25" s="48"/>
      <c r="S25" s="51"/>
    </row>
    <row r="26" spans="1:19">
      <c r="A26" s="47"/>
      <c r="B26" s="75" t="s">
        <v>48</v>
      </c>
      <c r="C26" s="48"/>
      <c r="D26" s="48"/>
      <c r="E26" s="48"/>
      <c r="F26" s="48"/>
      <c r="G26" s="48"/>
      <c r="H26" s="85"/>
      <c r="I26" s="48"/>
      <c r="J26" s="48"/>
      <c r="K26" s="48"/>
      <c r="L26" s="48"/>
      <c r="M26" s="48"/>
      <c r="N26" s="48"/>
      <c r="O26" s="48"/>
      <c r="P26" s="48"/>
      <c r="Q26" s="48"/>
      <c r="S26" s="51"/>
    </row>
    <row r="27" spans="1:19">
      <c r="A27" s="47"/>
      <c r="B27" s="76"/>
      <c r="C27" s="77"/>
      <c r="D27" s="77"/>
      <c r="E27" s="77"/>
      <c r="F27" s="77"/>
      <c r="G27" s="77"/>
      <c r="H27" s="86"/>
      <c r="I27" s="48"/>
      <c r="J27" s="48"/>
      <c r="K27" s="48"/>
      <c r="L27" s="48"/>
      <c r="M27" s="48"/>
      <c r="N27" s="48"/>
      <c r="O27" s="48"/>
      <c r="P27" s="48"/>
      <c r="Q27" s="48"/>
      <c r="S27" s="51"/>
    </row>
    <row r="28" spans="1:19">
      <c r="A28" s="79"/>
      <c r="B28" s="77"/>
      <c r="C28" s="77"/>
      <c r="D28" s="77"/>
      <c r="E28" s="77"/>
      <c r="F28" s="77"/>
      <c r="G28" s="77"/>
      <c r="H28" s="78"/>
      <c r="I28" s="77"/>
      <c r="J28" s="77"/>
      <c r="K28" s="77"/>
      <c r="L28" s="77"/>
      <c r="M28" s="77"/>
      <c r="N28" s="77"/>
      <c r="O28" s="77"/>
      <c r="P28" s="77"/>
      <c r="Q28" s="77"/>
      <c r="R28" s="80"/>
      <c r="S28" s="81"/>
    </row>
    <row r="29" spans="1:19" ht="16.5" thickBot="1">
      <c r="B29" s="48"/>
      <c r="C29" s="48"/>
      <c r="D29" s="48"/>
      <c r="E29" s="48"/>
      <c r="F29" s="48"/>
      <c r="G29" s="48"/>
      <c r="H29" s="49"/>
      <c r="I29" s="48"/>
      <c r="J29" s="48"/>
      <c r="K29" s="48"/>
      <c r="L29" s="48"/>
      <c r="M29" s="48"/>
      <c r="N29" s="48"/>
      <c r="O29" s="48"/>
      <c r="P29" s="48"/>
      <c r="Q29" s="48"/>
    </row>
    <row r="30" spans="1:19" ht="32.25" thickBot="1">
      <c r="A30" s="82" t="s">
        <v>68</v>
      </c>
      <c r="B30" s="83">
        <f>N18</f>
        <v>5550000</v>
      </c>
      <c r="C30" s="48"/>
      <c r="D30" s="48"/>
      <c r="E30" s="48"/>
      <c r="F30" s="48"/>
      <c r="G30" s="48"/>
      <c r="H30" s="49"/>
      <c r="I30" s="48"/>
      <c r="J30" s="48"/>
      <c r="K30" s="48"/>
      <c r="L30" s="48"/>
      <c r="M30" s="48"/>
      <c r="N30" s="48"/>
      <c r="O30" s="48"/>
      <c r="P30" s="48"/>
      <c r="Q30" s="48"/>
    </row>
    <row r="31" spans="1:19" ht="50.25" customHeight="1" thickBot="1">
      <c r="A31" s="82" t="s">
        <v>66</v>
      </c>
      <c r="B31" s="83">
        <f>Q18</f>
        <v>333000</v>
      </c>
      <c r="C31" s="48"/>
      <c r="D31" s="48"/>
      <c r="E31" s="48"/>
      <c r="F31" s="48"/>
      <c r="G31" s="48"/>
      <c r="H31" s="49"/>
      <c r="I31" s="48"/>
      <c r="J31" s="48"/>
      <c r="K31" s="48"/>
      <c r="L31" s="48"/>
      <c r="M31" s="48"/>
      <c r="N31" s="48"/>
      <c r="O31" s="48"/>
      <c r="P31" s="48"/>
      <c r="Q31" s="48"/>
    </row>
  </sheetData>
  <mergeCells count="27">
    <mergeCell ref="B8:D8"/>
    <mergeCell ref="B9:D9"/>
    <mergeCell ref="D12:D14"/>
    <mergeCell ref="B1:C2"/>
    <mergeCell ref="B3:D3"/>
    <mergeCell ref="B5:D5"/>
    <mergeCell ref="B6:D6"/>
    <mergeCell ref="B7:D7"/>
    <mergeCell ref="E12:E14"/>
    <mergeCell ref="F12:F14"/>
    <mergeCell ref="G12:H12"/>
    <mergeCell ref="J12:J14"/>
    <mergeCell ref="A12:A14"/>
    <mergeCell ref="B12:B14"/>
    <mergeCell ref="C12:C14"/>
    <mergeCell ref="N12:N14"/>
    <mergeCell ref="Q12:Q14"/>
    <mergeCell ref="R12:R14"/>
    <mergeCell ref="G13:G14"/>
    <mergeCell ref="H13:H14"/>
    <mergeCell ref="I13:I14"/>
    <mergeCell ref="L13:L14"/>
    <mergeCell ref="M13:M14"/>
    <mergeCell ref="K13:K14"/>
    <mergeCell ref="K12:M12"/>
    <mergeCell ref="O12:O14"/>
    <mergeCell ref="P12:P14"/>
  </mergeCells>
  <phoneticPr fontId="14" type="noConversion"/>
  <pageMargins left="0.19685039370078741" right="0" top="0" bottom="0" header="0.51181102362204722" footer="0.51181102362204722"/>
  <pageSetup paperSize="9" scale="60" fitToWidth="0" orientation="landscape" horizontalDpi="4294967293" verticalDpi="300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BORDEREAU TRIMESTRIELLE</vt:lpstr>
      <vt:lpstr>DNS</vt:lpstr>
      <vt:lpstr>'BORDEREAU TRIMESTRIELLE'!Zone_d_impression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Lalaina RASOLOMAMPIANINA</dc:creator>
  <cp:lastModifiedBy>Herizo Raza</cp:lastModifiedBy>
  <cp:revision>2</cp:revision>
  <cp:lastPrinted>2025-10-06T07:31:51Z</cp:lastPrinted>
  <dcterms:created xsi:type="dcterms:W3CDTF">2016-06-02T13:32:00Z</dcterms:created>
  <dcterms:modified xsi:type="dcterms:W3CDTF">2025-12-20T09:19:48Z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