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 Soakoja\Documents\Formation appli web\hydria nuxt django\backend\"/>
    </mc:Choice>
  </mc:AlternateContent>
  <xr:revisionPtr revIDLastSave="0" documentId="8_{D6B0F13E-DDC9-46C3-8079-62A9CE4BE830}" xr6:coauthVersionLast="47" xr6:coauthVersionMax="47" xr10:uidLastSave="{00000000-0000-0000-0000-000000000000}"/>
  <bookViews>
    <workbookView xWindow="-120" yWindow="-120" windowWidth="29040" windowHeight="15720" xr2:uid="{806E87F1-5F53-433F-85CA-0D2FAAA90A6B}"/>
  </bookViews>
  <sheets>
    <sheet name="DIAME IRSA" sheetId="1" r:id="rId1"/>
    <sheet name="D.N IRSA " sheetId="2" r:id="rId2"/>
    <sheet name="bordereau IRSA" sheetId="3" r:id="rId3"/>
  </sheets>
  <externalReferences>
    <externalReference r:id="rId4"/>
  </externalReferences>
  <definedNames>
    <definedName name="ChronologieNative_Mois_paiement">#N/A</definedName>
    <definedName name="PlageDynamique">OFFSET(#REF!,,,COUNTIF(#REF!,"?*")-1)</definedName>
    <definedName name="SME_2019">'[1]Grille Salaire'!$AB$1</definedName>
    <definedName name="_xlnm.Print_Area" localSheetId="2">'bordereau IRSA'!$A$1:$I$56</definedName>
    <definedName name="_xlnm.Print_Area" localSheetId="0">'DIAME IRSA'!$A$1:$E$60</definedName>
  </definedNames>
  <calcPr calcId="191029"/>
  <pivotCaches>
    <pivotCache cacheId="1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3" l="1"/>
  <c r="F30" i="3"/>
  <c r="F38" i="3" s="1"/>
  <c r="G29" i="3"/>
  <c r="G41" i="3" s="1"/>
  <c r="F16" i="3"/>
  <c r="G13" i="3"/>
  <c r="F28" i="3" s="1"/>
  <c r="G12" i="3"/>
  <c r="H2" i="2"/>
  <c r="I2" i="2"/>
  <c r="H3" i="2"/>
  <c r="I3" i="2"/>
  <c r="D2" i="1"/>
  <c r="D1" i="1" s="1"/>
</calcChain>
</file>

<file path=xl/sharedStrings.xml><?xml version="1.0" encoding="utf-8"?>
<sst xmlns="http://schemas.openxmlformats.org/spreadsheetml/2006/main" count="501" uniqueCount="238">
  <si>
    <t>Nom de l'organisation</t>
  </si>
  <si>
    <t>SOAKOJA</t>
  </si>
  <si>
    <t>Payé en</t>
  </si>
  <si>
    <t>IRSA</t>
  </si>
  <si>
    <t>Concernant les salaires du mois:</t>
  </si>
  <si>
    <t>Fonction</t>
  </si>
  <si>
    <t>Noms et prénoms</t>
  </si>
  <si>
    <t xml:space="preserve"> Salaire brut total</t>
  </si>
  <si>
    <t xml:space="preserve"> Base imposable</t>
  </si>
  <si>
    <t xml:space="preserve"> IRSA</t>
  </si>
  <si>
    <t>Date de paiement</t>
  </si>
  <si>
    <t>Agent de maintenance/Mpikarakara foto-drafitr'asa</t>
  </si>
  <si>
    <t>HERIMAMINAVALONA Fifaliana</t>
  </si>
  <si>
    <t>MAMONJISOA Heriniaina André</t>
  </si>
  <si>
    <t>Total général</t>
  </si>
  <si>
    <t>PEROLIN</t>
  </si>
  <si>
    <t>RAHARIZARASOA Manitrasina Sahoby</t>
  </si>
  <si>
    <t>TOTO Rodin</t>
  </si>
  <si>
    <t>VICTORIEN Angeliot</t>
  </si>
  <si>
    <t>SOMA Ginot</t>
  </si>
  <si>
    <t>RAHARISON Danny</t>
  </si>
  <si>
    <t>FENOMANANA Syressi Tilamb</t>
  </si>
  <si>
    <t>MAROLAHY Stanislas</t>
  </si>
  <si>
    <t>BERY Jerson Alexandre</t>
  </si>
  <si>
    <t>BIHANONA Elito</t>
  </si>
  <si>
    <t>RAZAFINDRIANTSY Pierrot Carlos</t>
  </si>
  <si>
    <t>YOURI Vincent</t>
  </si>
  <si>
    <t>TOTO Hyacintte</t>
  </si>
  <si>
    <t>Animateur</t>
  </si>
  <si>
    <t>LAMA Francisco Anicet</t>
  </si>
  <si>
    <t>Assistante administrative</t>
  </si>
  <si>
    <t>SANDRINE</t>
  </si>
  <si>
    <t>Assistante opérationnel</t>
  </si>
  <si>
    <t>KWAN_KAI-TON Rasoanirina Lydie</t>
  </si>
  <si>
    <t>Directeur d'antenne Vavatenina</t>
  </si>
  <si>
    <t>RABERIAKA Gaëtan Henri</t>
  </si>
  <si>
    <t>Femme de ménage</t>
  </si>
  <si>
    <t>BIAKA Marie Jeanne</t>
  </si>
  <si>
    <t>RAVOLAMBAHOAKA Benedictine</t>
  </si>
  <si>
    <t>Gardien - Jardinier</t>
  </si>
  <si>
    <t>RAOUL</t>
  </si>
  <si>
    <t>RENE</t>
  </si>
  <si>
    <t>VELONASY</t>
  </si>
  <si>
    <t>Responsable administratif et financier</t>
  </si>
  <si>
    <t>SAMIANGALY Valerie Avotranirina</t>
  </si>
  <si>
    <t>Technicien</t>
  </si>
  <si>
    <t>GALY Luigi Florentin</t>
  </si>
  <si>
    <t>Caissière Magasinière</t>
  </si>
  <si>
    <t>VOLAHAINGO Frida Samuella</t>
  </si>
  <si>
    <t xml:space="preserve">SEDRANIAINA Santatra Irène </t>
  </si>
  <si>
    <t>Assistant technique</t>
  </si>
  <si>
    <t>RAKOTOELINORO Onjanandrianina Jean René</t>
  </si>
  <si>
    <t>Directrice adjointe</t>
  </si>
  <si>
    <t>BAKOARISOA Hanitriniaina</t>
  </si>
  <si>
    <t>Controleur maintenance</t>
  </si>
  <si>
    <t>RANDRIAMPENOMANANA Harinelina Faly</t>
  </si>
  <si>
    <t>RANDRIANANTENAINA Alain</t>
  </si>
  <si>
    <t>TSIRA Jean Christian</t>
  </si>
  <si>
    <t>TSIZAFY Arnaud Victorien</t>
  </si>
  <si>
    <t>Directeur</t>
  </si>
  <si>
    <t>RAZAFINTSALAMA Herizo Nandrianintsoa</t>
  </si>
  <si>
    <t>Controleur maintenance/construction</t>
  </si>
  <si>
    <t>DAHY Christophe</t>
  </si>
  <si>
    <t>Cachet de l'organisation:</t>
  </si>
  <si>
    <t>Signature du Responsable et Date:</t>
  </si>
  <si>
    <t>OP2B</t>
  </si>
  <si>
    <t>FNR</t>
  </si>
  <si>
    <t>/</t>
  </si>
  <si>
    <t>VVT</t>
  </si>
  <si>
    <t>OP3</t>
  </si>
  <si>
    <t>Coordinateur technique</t>
  </si>
  <si>
    <t>ZAFINDRAKOTO Mimix Clorin</t>
  </si>
  <si>
    <t>VELONJARA Dolin</t>
  </si>
  <si>
    <t>OS2</t>
  </si>
  <si>
    <t>TSARAVINTANA Francot</t>
  </si>
  <si>
    <t>TOTOMORA Ghislain Zefania</t>
  </si>
  <si>
    <t>Animatrice</t>
  </si>
  <si>
    <t>SOANIRINA Marie Brenda</t>
  </si>
  <si>
    <t>SEVA Jean Christophe</t>
  </si>
  <si>
    <t>Transversal</t>
  </si>
  <si>
    <t>HC</t>
  </si>
  <si>
    <t>Directeur d'antenne Fénérive Est</t>
  </si>
  <si>
    <t>ROMBA Jean Chrisostome</t>
  </si>
  <si>
    <t xml:space="preserve">RAZAFISOATERA Feno Ornella </t>
  </si>
  <si>
    <t>RAZAFINDRABODY Talata Bienvenu</t>
  </si>
  <si>
    <t>RAZAFIMAMONJY Luo</t>
  </si>
  <si>
    <t>RAZAFIMAHEFA Jean Antonio</t>
  </si>
  <si>
    <t>M1</t>
  </si>
  <si>
    <t>RASOA Marie Estheline</t>
  </si>
  <si>
    <t>RANDRIAMITOLONA Doris</t>
  </si>
  <si>
    <t>TNR</t>
  </si>
  <si>
    <t>Assistant opérationnel</t>
  </si>
  <si>
    <t>RANDRIAMINOHARINIRINA Herinalaina</t>
  </si>
  <si>
    <t>Assistante de programme</t>
  </si>
  <si>
    <t>RAMARA Haritiana Caroline</t>
  </si>
  <si>
    <t>RAMANJAKAMBALO Judicael</t>
  </si>
  <si>
    <t>RAKOTOVAZAHA Jean Christophe</t>
  </si>
  <si>
    <t>RAKOTONIRINA Rinon Charles</t>
  </si>
  <si>
    <t>Chef d'antenne Tana</t>
  </si>
  <si>
    <t>RAKOTONDRANAIVO Patrick</t>
  </si>
  <si>
    <t>Assistant de Programme</t>
  </si>
  <si>
    <t>RAKOTONDRABE Hery Solofo Patrick</t>
  </si>
  <si>
    <t>RABESAHALA Aubry Celestin</t>
  </si>
  <si>
    <t>3A</t>
  </si>
  <si>
    <t>Magasinier</t>
  </si>
  <si>
    <t>MICHEL Voavy</t>
  </si>
  <si>
    <t>MEULI Jennio Stephan</t>
  </si>
  <si>
    <t>MANAJA Beatrice</t>
  </si>
  <si>
    <t>Responsable constructions et gestion d'ouvrages</t>
  </si>
  <si>
    <t>LAIHIAVY Boris</t>
  </si>
  <si>
    <t>FALIMANANA Emerick</t>
  </si>
  <si>
    <t>FABIOLAIN Jean Fidelice</t>
  </si>
  <si>
    <t>Agent administratif</t>
  </si>
  <si>
    <t>BENY Sedrace Raissa</t>
  </si>
  <si>
    <t>Encadreur technique</t>
  </si>
  <si>
    <t>ANTOINE Gaston</t>
  </si>
  <si>
    <t>ANDRIATSILAVINA Harijaona Antoine</t>
  </si>
  <si>
    <t>Classif prof</t>
  </si>
  <si>
    <t>Base</t>
  </si>
  <si>
    <t>Date de débauchage</t>
  </si>
  <si>
    <t>Date d'embauche</t>
  </si>
  <si>
    <t>Salaire de base</t>
  </si>
  <si>
    <t>Classif. Prof.</t>
  </si>
  <si>
    <t>Progr.</t>
  </si>
  <si>
    <t>Date de débauche</t>
  </si>
  <si>
    <t>Nom du salarié</t>
  </si>
  <si>
    <t>DECLARATION NOMINATIVE DES IMPOTS SUR LES REVENUS SALARIAUX ET ASSIMILES</t>
  </si>
  <si>
    <r>
      <t xml:space="preserve">        REPOBLI</t>
    </r>
    <r>
      <rPr>
        <u/>
        <sz val="8"/>
        <rFont val="Arial"/>
        <family val="2"/>
      </rPr>
      <t>KAN'I MADA</t>
    </r>
    <r>
      <rPr>
        <sz val="8"/>
        <rFont val="Arial"/>
        <family val="2"/>
      </rPr>
      <t>GASIKARA</t>
    </r>
  </si>
  <si>
    <t>HETRA AMIN'NY KARAMA SY NY TOA AZY</t>
  </si>
  <si>
    <t>Janvier</t>
  </si>
  <si>
    <t xml:space="preserve">                           (Andininy faha 01 16 56 amin'ny fehezan-dalana </t>
  </si>
  <si>
    <t>Février</t>
  </si>
  <si>
    <t xml:space="preserve"> SAMPAN-DRAHARAHA  MOMBA </t>
  </si>
  <si>
    <t xml:space="preserve">                                      ankapobeny mifehy ny hetra)</t>
  </si>
  <si>
    <t>Mars</t>
  </si>
  <si>
    <r>
      <t>NY LAHA</t>
    </r>
    <r>
      <rPr>
        <b/>
        <u/>
        <sz val="10"/>
        <rFont val="Arial"/>
        <family val="2"/>
      </rPr>
      <t>SA MIKASIK</t>
    </r>
    <r>
      <rPr>
        <b/>
        <sz val="10"/>
        <rFont val="Arial"/>
        <family val="2"/>
      </rPr>
      <t>A NY HETRA</t>
    </r>
  </si>
  <si>
    <t xml:space="preserve">IMPÔT SUR LES REVENUS SALARIES ET ASSIMILES </t>
  </si>
  <si>
    <t>Avril</t>
  </si>
  <si>
    <t xml:space="preserve">                              (Art 01.16.56 du code général des impôts)</t>
  </si>
  <si>
    <t>Mai</t>
  </si>
  <si>
    <t xml:space="preserve">             TARATASY FANDROTSAHAM-BOLA</t>
  </si>
  <si>
    <t>Juin</t>
  </si>
  <si>
    <t>FARITANY</t>
  </si>
  <si>
    <t xml:space="preserve">                  Ho fenoin'ny mpampiasa na ny vondrona mpandoa vola, enina mitovy</t>
  </si>
  <si>
    <t>Juillet</t>
  </si>
  <si>
    <t>TAMATAVE</t>
  </si>
  <si>
    <t xml:space="preserve">              BORDEREAU DE VERSEMENT</t>
  </si>
  <si>
    <t>Août</t>
  </si>
  <si>
    <t xml:space="preserve">      FIVONDRONAM-POKONTANY</t>
  </si>
  <si>
    <t xml:space="preserve">             A établir en  4 exemplaires par l'employeur ou l'organisme payeur</t>
  </si>
  <si>
    <t>Septembre</t>
  </si>
  <si>
    <t>VAVATENINA</t>
  </si>
  <si>
    <r>
      <t>TAONA</t>
    </r>
    <r>
      <rPr>
        <b/>
        <sz val="10"/>
        <rFont val="Arial"/>
        <family val="2"/>
      </rPr>
      <t xml:space="preserve">:            </t>
    </r>
    <r>
      <rPr>
        <b/>
        <sz val="14"/>
        <rFont val="Arial"/>
        <family val="2"/>
      </rPr>
      <t xml:space="preserve"> 2014</t>
    </r>
  </si>
  <si>
    <t>Octobre</t>
  </si>
  <si>
    <t>COMMUNE</t>
  </si>
  <si>
    <t>Année</t>
  </si>
  <si>
    <t>Novembre</t>
  </si>
  <si>
    <t>Volana:…</t>
  </si>
  <si>
    <t>Décembre</t>
  </si>
  <si>
    <t xml:space="preserve">Mois de </t>
  </si>
  <si>
    <r>
      <t>Anarana sy fanampinan'anaran'ny fikambanana………………</t>
    </r>
    <r>
      <rPr>
        <b/>
        <sz val="8"/>
        <rFont val="Arial"/>
        <family val="2"/>
      </rPr>
      <t>SOAKOJA  ………….………………... VAVATENINA</t>
    </r>
  </si>
  <si>
    <t>Nom et prénoms ou raison sociale</t>
  </si>
  <si>
    <t>NIF</t>
  </si>
  <si>
    <t>Nomerao statistique : 8810132201800019310</t>
  </si>
  <si>
    <r>
      <t>Nomerao CnaPs…………</t>
    </r>
    <r>
      <rPr>
        <b/>
        <sz val="8"/>
        <rFont val="Arial"/>
        <family val="2"/>
      </rPr>
      <t>…</t>
    </r>
    <r>
      <rPr>
        <sz val="8"/>
        <rFont val="Arial"/>
        <family val="2"/>
      </rPr>
      <t>…9C2137………(2)</t>
    </r>
  </si>
  <si>
    <t>Numéro d'identification statistique</t>
  </si>
  <si>
    <t xml:space="preserve">          Numéro CnaPs</t>
  </si>
  <si>
    <t>Raharaha atao</t>
  </si>
  <si>
    <r>
      <t>………………………………….</t>
    </r>
    <r>
      <rPr>
        <b/>
        <i/>
        <sz val="8"/>
        <rFont val="Arial"/>
        <family val="2"/>
      </rPr>
      <t>ONG..</t>
    </r>
    <r>
      <rPr>
        <i/>
        <sz val="8"/>
        <rFont val="Arial"/>
        <family val="2"/>
      </rPr>
      <t>…………………………………………...………………………………</t>
    </r>
  </si>
  <si>
    <t>Nature de profession</t>
  </si>
  <si>
    <t>Adiresy fonenan'ny toeram-piasana……………BEMASOANDRO VAVATENINA</t>
  </si>
  <si>
    <t xml:space="preserve"> </t>
  </si>
  <si>
    <t>Adresse de la résidence ou d'établissement</t>
  </si>
  <si>
    <t>Toerana misy ny sampana anaovana ity fandrotsaham-bola ity………………...……VAVATENINA………...……………………………</t>
  </si>
  <si>
    <t>Hetra tandrify</t>
  </si>
  <si>
    <t>Faritra atokana ho an'</t>
  </si>
  <si>
    <t>Vola ho an'ny</t>
  </si>
  <si>
    <t>(Impôts corres-</t>
  </si>
  <si>
    <t xml:space="preserve">       ny fanjakana </t>
  </si>
  <si>
    <t>Revenus versés aux</t>
  </si>
  <si>
    <t>pondants</t>
  </si>
  <si>
    <t>Cadre réservé au service</t>
  </si>
  <si>
    <t>des contributions directes</t>
  </si>
  <si>
    <t>1-Mpiasa raikitra</t>
  </si>
  <si>
    <t>Isany</t>
  </si>
  <si>
    <t>Travailleurs permanents</t>
  </si>
  <si>
    <t>Nombre</t>
  </si>
  <si>
    <t>Karama raikitra</t>
  </si>
  <si>
    <t>Rémunération net imposable</t>
  </si>
  <si>
    <t>Tsanganana faha- 25 amin'ny filazana laharana faha -254</t>
  </si>
  <si>
    <t>Colonne 25 de l'état modèle n°254</t>
  </si>
  <si>
    <t>II-Mpiasa an-tselika</t>
  </si>
  <si>
    <t>Travailleurs occasionnels</t>
  </si>
  <si>
    <t>et assimilés</t>
  </si>
  <si>
    <t>Masse globales de salaires  versés</t>
  </si>
  <si>
    <t>Ampahany alaina ho hetra 2 isan-jato</t>
  </si>
  <si>
    <t>Taux de l'impôt 2 pour cent</t>
  </si>
  <si>
    <t>Fitambaran'ny hetra………</t>
  </si>
  <si>
    <t>Taux de l'impôt</t>
  </si>
  <si>
    <t xml:space="preserve">    Fomba fandoavana ny vola</t>
  </si>
  <si>
    <t>VOLA VOARAY</t>
  </si>
  <si>
    <t>Sazy</t>
  </si>
  <si>
    <t xml:space="preserve">          Mode de paiement utilisé</t>
  </si>
  <si>
    <t>Prise en charge</t>
  </si>
  <si>
    <t>Pénalité</t>
  </si>
  <si>
    <t>Lelavola</t>
  </si>
  <si>
    <t>Taratasim-</t>
  </si>
  <si>
    <t xml:space="preserve">Fomba </t>
  </si>
  <si>
    <t>Ny vola</t>
  </si>
  <si>
    <t>Ny amerana azy</t>
  </si>
  <si>
    <t>Espece</t>
  </si>
  <si>
    <t>bola banky</t>
  </si>
  <si>
    <t>bola postaly</t>
  </si>
  <si>
    <t>hafa</t>
  </si>
  <si>
    <t>La somme de:</t>
  </si>
  <si>
    <t>Chèque BANC</t>
  </si>
  <si>
    <t>Chèque Post.</t>
  </si>
  <si>
    <t>Autres</t>
  </si>
  <si>
    <t>……………</t>
  </si>
  <si>
    <t>………………..</t>
  </si>
  <si>
    <t xml:space="preserve">VAVATENINA, FAHA    </t>
  </si>
  <si>
    <t>Vaninandro</t>
  </si>
  <si>
    <t>Ampahany alaina</t>
  </si>
  <si>
    <t>Le</t>
  </si>
  <si>
    <t>Date</t>
  </si>
  <si>
    <t xml:space="preserve">Nomeraon'ny </t>
  </si>
  <si>
    <t>Vola  aloa</t>
  </si>
  <si>
    <t>Signature</t>
  </si>
  <si>
    <t>Numéro de la</t>
  </si>
  <si>
    <t>quittance</t>
  </si>
  <si>
    <t>Fitambaran'ny vola aloa…..</t>
  </si>
  <si>
    <t>Total à  payer</t>
  </si>
  <si>
    <t>(1) Tsipiho izay tsy izy</t>
  </si>
  <si>
    <t>(2) Nomerao maha   mpapiasa</t>
  </si>
  <si>
    <t xml:space="preserve">    (3) Mariho ny fomba nampiasaina</t>
  </si>
  <si>
    <t>Rayer la mention inutile</t>
  </si>
  <si>
    <t>Numéro de l'employeur</t>
  </si>
  <si>
    <t xml:space="preserve">         Côcher la case utilisée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</si>
</sst>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C]mmmm\-yy;@"/>
    <numFmt numFmtId="165" formatCode="_-* #,##0_-;\-* #,##0_-;_-* &quot;-&quot;??_-;_-@_-"/>
    <numFmt numFmtId="166" formatCode="dd/mm/yy;@"/>
    <numFmt numFmtId="167" formatCode="[$-40C]mmm\-yy;@"/>
    <numFmt numFmtId="168" formatCode="_(* #,##0.00_);_(* \(#,##0.00\);_(* &quot;-&quot;??_);_(@_)"/>
    <numFmt numFmtId="169" formatCode="#\ ##0"/>
    <numFmt numFmtId="170" formatCode="[$-40C]mmmmm;@"/>
    <numFmt numFmtId="171" formatCode="[$-40C]dddd\ d\ mmmm\ 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12"/>
      <color theme="1"/>
      <name val="Calibri"/>
      <family val="2"/>
      <scheme val="minor"/>
    </font>
    <font>
      <b/>
      <sz val="11"/>
      <color theme="1"/>
      <name val="Tahoma"/>
      <family val="2"/>
    </font>
    <font>
      <sz val="10"/>
      <name val="Arial"/>
      <family val="2"/>
    </font>
    <font>
      <sz val="12"/>
      <color theme="0"/>
      <name val="Calibri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0"/>
      <name val="Arial Narrow"/>
      <family val="2"/>
    </font>
    <font>
      <sz val="10"/>
      <color rgb="FFFF0000"/>
      <name val="Arial Narrow"/>
      <family val="2"/>
    </font>
    <font>
      <sz val="10"/>
      <name val="Arial Narrow"/>
      <family val="2"/>
    </font>
    <font>
      <b/>
      <sz val="14"/>
      <name val="Arial Narrow"/>
      <family val="2"/>
    </font>
    <font>
      <sz val="8"/>
      <name val="Arial"/>
      <family val="2"/>
    </font>
    <font>
      <u/>
      <sz val="8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i/>
      <sz val="8"/>
      <name val="Arial"/>
      <family val="2"/>
    </font>
    <font>
      <b/>
      <i/>
      <sz val="12"/>
      <color indexed="48"/>
      <name val="Arial"/>
      <family val="2"/>
    </font>
    <font>
      <b/>
      <i/>
      <sz val="10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168" fontId="3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1" applyFont="1"/>
    <xf numFmtId="0" fontId="2" fillId="2" borderId="0" xfId="1" applyFont="1" applyFill="1"/>
    <xf numFmtId="0" fontId="2" fillId="0" borderId="0" xfId="1" applyFont="1" applyAlignment="1">
      <alignment horizontal="right"/>
    </xf>
    <xf numFmtId="164" fontId="2" fillId="2" borderId="1" xfId="1" applyNumberFormat="1" applyFont="1" applyFill="1" applyBorder="1"/>
    <xf numFmtId="0" fontId="1" fillId="0" borderId="0" xfId="1"/>
    <xf numFmtId="0" fontId="2" fillId="0" borderId="2" xfId="1" applyFont="1" applyBorder="1" applyAlignment="1">
      <alignment horizontal="right" vertical="center"/>
    </xf>
    <xf numFmtId="0" fontId="2" fillId="0" borderId="1" xfId="1" applyFont="1" applyBorder="1" applyAlignment="1">
      <alignment horizontal="right" vertical="center"/>
    </xf>
    <xf numFmtId="0" fontId="2" fillId="2" borderId="3" xfId="1" applyFont="1" applyFill="1" applyBorder="1"/>
    <xf numFmtId="3" fontId="0" fillId="0" borderId="0" xfId="0" applyNumberFormat="1"/>
    <xf numFmtId="0" fontId="4" fillId="0" borderId="0" xfId="1" applyFont="1"/>
    <xf numFmtId="14" fontId="0" fillId="0" borderId="0" xfId="0" applyNumberFormat="1"/>
    <xf numFmtId="0" fontId="5" fillId="0" borderId="0" xfId="2"/>
    <xf numFmtId="0" fontId="2" fillId="0" borderId="0" xfId="1" applyFont="1" applyAlignment="1">
      <alignment horizontal="center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4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vertical="center"/>
    </xf>
    <xf numFmtId="4" fontId="0" fillId="0" borderId="4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0" xfId="0" pivotButton="1"/>
    <xf numFmtId="0" fontId="0" fillId="0" borderId="0" xfId="0" pivotButton="1" applyAlignment="1">
      <alignment wrapText="1"/>
    </xf>
    <xf numFmtId="168" fontId="5" fillId="0" borderId="0" xfId="3" applyFont="1"/>
    <xf numFmtId="169" fontId="7" fillId="0" borderId="5" xfId="2" applyNumberFormat="1" applyFont="1" applyBorder="1" applyAlignment="1">
      <alignment horizontal="center" vertical="center" wrapText="1"/>
    </xf>
    <xf numFmtId="169" fontId="7" fillId="0" borderId="6" xfId="2" applyNumberFormat="1" applyFont="1" applyBorder="1" applyAlignment="1">
      <alignment horizontal="center" vertical="center" wrapText="1"/>
    </xf>
    <xf numFmtId="3" fontId="8" fillId="0" borderId="6" xfId="2" applyNumberFormat="1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170" fontId="9" fillId="0" borderId="8" xfId="2" applyNumberFormat="1" applyFont="1" applyBorder="1" applyAlignment="1">
      <alignment horizontal="center"/>
    </xf>
    <xf numFmtId="166" fontId="10" fillId="0" borderId="0" xfId="2" applyNumberFormat="1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0" xfId="2" applyFont="1"/>
    <xf numFmtId="0" fontId="11" fillId="0" borderId="0" xfId="2" applyFont="1" applyAlignment="1">
      <alignment wrapText="1"/>
    </xf>
    <xf numFmtId="0" fontId="11" fillId="0" borderId="9" xfId="2" applyFont="1" applyBorder="1"/>
    <xf numFmtId="0" fontId="12" fillId="0" borderId="3" xfId="2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3" fillId="0" borderId="0" xfId="2" applyFont="1"/>
    <xf numFmtId="0" fontId="15" fillId="0" borderId="0" xfId="2" applyFont="1"/>
    <xf numFmtId="0" fontId="16" fillId="0" borderId="0" xfId="2" applyFont="1"/>
    <xf numFmtId="0" fontId="17" fillId="0" borderId="0" xfId="2" applyFont="1"/>
    <xf numFmtId="0" fontId="18" fillId="0" borderId="0" xfId="2" applyFont="1"/>
    <xf numFmtId="0" fontId="19" fillId="0" borderId="0" xfId="2" applyFont="1"/>
    <xf numFmtId="0" fontId="21" fillId="0" borderId="0" xfId="2" applyFont="1"/>
    <xf numFmtId="0" fontId="5" fillId="0" borderId="0" xfId="2" applyAlignment="1">
      <alignment horizontal="center"/>
    </xf>
    <xf numFmtId="0" fontId="20" fillId="0" borderId="0" xfId="2" applyFont="1"/>
    <xf numFmtId="0" fontId="22" fillId="0" borderId="0" xfId="2" applyFont="1"/>
    <xf numFmtId="0" fontId="24" fillId="0" borderId="0" xfId="2" applyFont="1"/>
    <xf numFmtId="17" fontId="18" fillId="0" borderId="0" xfId="2" applyNumberFormat="1" applyFont="1"/>
    <xf numFmtId="14" fontId="25" fillId="0" borderId="0" xfId="2" applyNumberFormat="1" applyFont="1"/>
    <xf numFmtId="0" fontId="16" fillId="0" borderId="0" xfId="2" applyFont="1" applyAlignment="1">
      <alignment horizontal="right"/>
    </xf>
    <xf numFmtId="3" fontId="16" fillId="0" borderId="0" xfId="2" applyNumberFormat="1" applyFont="1"/>
    <xf numFmtId="0" fontId="13" fillId="0" borderId="10" xfId="2" applyFont="1" applyBorder="1"/>
    <xf numFmtId="0" fontId="13" fillId="0" borderId="11" xfId="2" applyFont="1" applyBorder="1"/>
    <xf numFmtId="0" fontId="16" fillId="0" borderId="11" xfId="2" applyFont="1" applyBorder="1"/>
    <xf numFmtId="0" fontId="13" fillId="0" borderId="12" xfId="2" applyFont="1" applyBorder="1" applyAlignment="1">
      <alignment horizontal="center"/>
    </xf>
    <xf numFmtId="0" fontId="13" fillId="0" borderId="13" xfId="2" applyFont="1" applyBorder="1"/>
    <xf numFmtId="0" fontId="13" fillId="0" borderId="9" xfId="2" applyFont="1" applyBorder="1"/>
    <xf numFmtId="0" fontId="17" fillId="0" borderId="14" xfId="2" applyFont="1" applyBorder="1" applyAlignment="1">
      <alignment horizontal="center"/>
    </xf>
    <xf numFmtId="0" fontId="13" fillId="0" borderId="8" xfId="2" applyFont="1" applyBorder="1"/>
    <xf numFmtId="0" fontId="17" fillId="0" borderId="9" xfId="2" applyFont="1" applyBorder="1"/>
    <xf numFmtId="0" fontId="13" fillId="0" borderId="15" xfId="2" applyFont="1" applyBorder="1"/>
    <xf numFmtId="0" fontId="13" fillId="0" borderId="16" xfId="2" applyFont="1" applyBorder="1"/>
    <xf numFmtId="0" fontId="13" fillId="0" borderId="17" xfId="2" applyFont="1" applyBorder="1"/>
    <xf numFmtId="0" fontId="17" fillId="0" borderId="15" xfId="2" applyFont="1" applyBorder="1"/>
    <xf numFmtId="0" fontId="13" fillId="0" borderId="18" xfId="2" applyFont="1" applyBorder="1"/>
    <xf numFmtId="0" fontId="16" fillId="0" borderId="10" xfId="2" applyFont="1" applyBorder="1"/>
    <xf numFmtId="0" fontId="26" fillId="0" borderId="12" xfId="2" applyFont="1" applyBorder="1" applyAlignment="1">
      <alignment horizontal="center"/>
    </xf>
    <xf numFmtId="0" fontId="13" fillId="0" borderId="12" xfId="2" applyFont="1" applyBorder="1"/>
    <xf numFmtId="3" fontId="22" fillId="0" borderId="14" xfId="2" applyNumberFormat="1" applyFont="1" applyBorder="1"/>
    <xf numFmtId="3" fontId="27" fillId="0" borderId="14" xfId="2" applyNumberFormat="1" applyFont="1" applyBorder="1"/>
    <xf numFmtId="3" fontId="28" fillId="0" borderId="17" xfId="2" applyNumberFormat="1" applyFont="1" applyBorder="1"/>
    <xf numFmtId="3" fontId="22" fillId="0" borderId="19" xfId="2" applyNumberFormat="1" applyFont="1" applyBorder="1"/>
    <xf numFmtId="0" fontId="16" fillId="0" borderId="9" xfId="2" applyFont="1" applyBorder="1"/>
    <xf numFmtId="0" fontId="26" fillId="0" borderId="17" xfId="2" applyFont="1" applyBorder="1" applyAlignment="1">
      <alignment horizontal="center"/>
    </xf>
    <xf numFmtId="0" fontId="26" fillId="0" borderId="14" xfId="2" applyFont="1" applyBorder="1" applyAlignment="1">
      <alignment horizontal="center"/>
    </xf>
    <xf numFmtId="3" fontId="22" fillId="0" borderId="20" xfId="2" applyNumberFormat="1" applyFont="1" applyBorder="1"/>
    <xf numFmtId="3" fontId="22" fillId="1" borderId="20" xfId="2" applyNumberFormat="1" applyFont="1" applyFill="1" applyBorder="1"/>
    <xf numFmtId="0" fontId="16" fillId="0" borderId="10" xfId="2" applyFont="1" applyBorder="1" applyAlignment="1">
      <alignment horizontal="center"/>
    </xf>
    <xf numFmtId="0" fontId="16" fillId="0" borderId="21" xfId="2" applyFont="1" applyBorder="1" applyAlignment="1">
      <alignment horizontal="center"/>
    </xf>
    <xf numFmtId="0" fontId="17" fillId="0" borderId="22" xfId="2" applyFont="1" applyBorder="1"/>
    <xf numFmtId="0" fontId="13" fillId="0" borderId="23" xfId="2" applyFont="1" applyBorder="1"/>
    <xf numFmtId="0" fontId="17" fillId="0" borderId="24" xfId="2" applyFont="1" applyBorder="1"/>
    <xf numFmtId="0" fontId="13" fillId="0" borderId="19" xfId="2" applyFont="1" applyBorder="1"/>
    <xf numFmtId="0" fontId="13" fillId="0" borderId="25" xfId="2" applyFont="1" applyBorder="1" applyAlignment="1">
      <alignment horizontal="center"/>
    </xf>
    <xf numFmtId="0" fontId="13" fillId="0" borderId="26" xfId="2" applyFont="1" applyBorder="1" applyAlignment="1">
      <alignment horizontal="center"/>
    </xf>
    <xf numFmtId="0" fontId="13" fillId="0" borderId="27" xfId="2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0" fontId="13" fillId="0" borderId="28" xfId="2" applyFont="1" applyBorder="1" applyAlignment="1">
      <alignment horizontal="center"/>
    </xf>
    <xf numFmtId="0" fontId="13" fillId="0" borderId="14" xfId="2" applyFont="1" applyBorder="1" applyAlignment="1">
      <alignment horizontal="center"/>
    </xf>
    <xf numFmtId="0" fontId="13" fillId="0" borderId="0" xfId="2" applyFont="1" applyAlignment="1">
      <alignment horizontal="center"/>
    </xf>
    <xf numFmtId="0" fontId="13" fillId="0" borderId="8" xfId="2" applyFont="1" applyBorder="1" applyAlignment="1">
      <alignment horizontal="center"/>
    </xf>
    <xf numFmtId="0" fontId="17" fillId="0" borderId="29" xfId="2" applyFont="1" applyBorder="1" applyAlignment="1">
      <alignment horizontal="center"/>
    </xf>
    <xf numFmtId="0" fontId="13" fillId="0" borderId="30" xfId="2" applyFont="1" applyBorder="1" applyAlignment="1">
      <alignment horizontal="center"/>
    </xf>
    <xf numFmtId="0" fontId="17" fillId="0" borderId="9" xfId="2" applyFont="1" applyBorder="1" applyAlignment="1">
      <alignment horizontal="center"/>
    </xf>
    <xf numFmtId="0" fontId="17" fillId="0" borderId="28" xfId="2" applyFont="1" applyBorder="1" applyAlignment="1">
      <alignment horizontal="center"/>
    </xf>
    <xf numFmtId="0" fontId="13" fillId="0" borderId="31" xfId="2" applyFont="1" applyBorder="1" applyAlignment="1">
      <alignment horizontal="center"/>
    </xf>
    <xf numFmtId="0" fontId="29" fillId="0" borderId="32" xfId="2" applyFont="1" applyBorder="1" applyAlignment="1">
      <alignment horizontal="center"/>
    </xf>
    <xf numFmtId="0" fontId="17" fillId="0" borderId="32" xfId="2" applyFont="1" applyBorder="1" applyAlignment="1">
      <alignment horizontal="center"/>
    </xf>
    <xf numFmtId="0" fontId="17" fillId="0" borderId="33" xfId="2" applyFont="1" applyBorder="1" applyAlignment="1">
      <alignment horizontal="center"/>
    </xf>
    <xf numFmtId="0" fontId="13" fillId="0" borderId="11" xfId="2" applyFont="1" applyBorder="1" applyAlignment="1">
      <alignment horizontal="center"/>
    </xf>
    <xf numFmtId="0" fontId="5" fillId="0" borderId="9" xfId="2" applyBorder="1" applyAlignment="1">
      <alignment horizontal="right"/>
    </xf>
    <xf numFmtId="171" fontId="5" fillId="0" borderId="0" xfId="2" applyNumberFormat="1" applyAlignment="1">
      <alignment horizontal="left"/>
    </xf>
    <xf numFmtId="171" fontId="5" fillId="0" borderId="8" xfId="2" applyNumberFormat="1" applyBorder="1" applyAlignment="1">
      <alignment horizontal="left"/>
    </xf>
    <xf numFmtId="0" fontId="13" fillId="0" borderId="34" xfId="2" applyFont="1" applyBorder="1" applyAlignment="1">
      <alignment horizontal="center"/>
    </xf>
    <xf numFmtId="0" fontId="16" fillId="0" borderId="35" xfId="2" applyFont="1" applyBorder="1" applyAlignment="1">
      <alignment horizontal="right"/>
    </xf>
    <xf numFmtId="0" fontId="13" fillId="0" borderId="34" xfId="2" applyFont="1" applyBorder="1"/>
    <xf numFmtId="0" fontId="13" fillId="0" borderId="36" xfId="2" applyFont="1" applyBorder="1"/>
    <xf numFmtId="0" fontId="16" fillId="0" borderId="34" xfId="2" applyFont="1" applyBorder="1"/>
    <xf numFmtId="0" fontId="13" fillId="0" borderId="35" xfId="2" applyFont="1" applyBorder="1"/>
    <xf numFmtId="0" fontId="13" fillId="0" borderId="37" xfId="2" applyFont="1" applyBorder="1"/>
    <xf numFmtId="0" fontId="13" fillId="0" borderId="14" xfId="2" applyFont="1" applyBorder="1"/>
    <xf numFmtId="0" fontId="17" fillId="0" borderId="16" xfId="2" applyFont="1" applyBorder="1"/>
  </cellXfs>
  <cellStyles count="4">
    <cellStyle name="Milliers 2" xfId="3" xr:uid="{8C928A2E-1A79-4D0F-8BEB-230E322E7495}"/>
    <cellStyle name="Normal" xfId="0" builtinId="0"/>
    <cellStyle name="Normal 2 2" xfId="2" xr:uid="{8FF7EB06-5954-4F58-BD4A-329DB38DBA46}"/>
    <cellStyle name="Normal 4 2" xfId="1" xr:uid="{8E79A75B-6E72-4009-9E5B-23C34D9ABB04}"/>
  </cellStyles>
  <dxfs count="27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275166</xdr:colOff>
      <xdr:row>2</xdr:row>
      <xdr:rowOff>87841</xdr:rowOff>
    </xdr:from>
    <xdr:to>
      <xdr:col>9</xdr:col>
      <xdr:colOff>687916</xdr:colOff>
      <xdr:row>9</xdr:row>
      <xdr:rowOff>73024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Mois paiement">
              <a:extLst>
                <a:ext uri="{FF2B5EF4-FFF2-40B4-BE49-F238E27FC236}">
                  <a16:creationId xmlns:a16="http://schemas.microsoft.com/office/drawing/2014/main" id="{56685CFB-F5C0-4A20-8D6B-50BF3C7400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ois paie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04083" y="468841"/>
              <a:ext cx="29845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S\admin\Fiches%20salaires%20et%20charges%20salariales.xlsm" TargetMode="External"/><Relationship Id="rId1" Type="http://schemas.openxmlformats.org/officeDocument/2006/relationships/externalLinkPath" Target="/DOCS/admin/Fiches%20salaires%20et%20charges%20salaria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es"/>
      <sheetName val="Comptes 1"/>
      <sheetName val="Sous-comptes"/>
      <sheetName val="Liste des employés"/>
      <sheetName val="dernier_contrat"/>
      <sheetName val="Liste des contrats"/>
      <sheetName val="Grille Salaire"/>
      <sheetName val="req organigramme"/>
      <sheetName val="Nb de jours des journaliers"/>
      <sheetName val="Grille indemnité"/>
      <sheetName val="liste des paiements"/>
      <sheetName val="fiches de paie gardiens"/>
      <sheetName val="fiches de paie employés"/>
      <sheetName val="fiches de paie Herizo"/>
      <sheetName val="Planning pour comptage jours"/>
      <sheetName val="indem herizo"/>
      <sheetName val="Planning"/>
      <sheetName val="Prestation"/>
      <sheetName val="facture prestation"/>
      <sheetName val="DIAME IRSA"/>
      <sheetName val="D.N IRSA "/>
      <sheetName val="D.N IRSA"/>
      <sheetName val="bordereau IRSA"/>
      <sheetName val="DIAME CNAPS"/>
      <sheetName val="historique Congé"/>
      <sheetName val="EMPLOYEUR"/>
      <sheetName val="Annexe DNS"/>
      <sheetName val="Talon DN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B1">
            <v>200000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D2">
            <v>45658</v>
          </cell>
        </row>
      </sheetData>
      <sheetData sheetId="20"/>
      <sheetData sheetId="21"/>
      <sheetData sheetId="22"/>
      <sheetData sheetId="23"/>
      <sheetData sheetId="24"/>
      <sheetData sheetId="25">
        <row r="6">
          <cell r="C6">
            <v>3003101957</v>
          </cell>
        </row>
      </sheetData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OCS/admin/Fiches%20salaires%20et%20charges%20salariales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0230403PC9" refreshedDate="45695.617568055553" createdVersion="8" refreshedVersion="8" minRefreshableVersion="3" recordCount="2121" xr:uid="{257EF853-3791-4F37-A273-F247446F9F00}">
  <cacheSource type="worksheet">
    <worksheetSource name="liste_paiement" r:id="rId2"/>
  </cacheSource>
  <cacheFields count="33">
    <cacheField name="N°" numFmtId="0">
      <sharedItems count="66">
        <s v="S01"/>
        <s v="S02"/>
        <s v="S03"/>
        <s v="S04"/>
        <s v="S05"/>
        <s v="S06"/>
        <s v="S07"/>
        <s v="S08"/>
        <s v="S09"/>
        <s v="S10"/>
        <s v="S11"/>
        <s v="S12"/>
        <s v="S13"/>
        <s v="S14"/>
        <s v="S15"/>
        <s v="S16"/>
        <s v="S17"/>
        <s v="S18"/>
        <s v="S19"/>
        <s v="S20"/>
        <s v="S21"/>
        <s v="S22"/>
        <s v="S23"/>
        <s v="S24"/>
        <s v="S25"/>
        <s v="S26"/>
        <s v="S27"/>
        <s v="S28"/>
        <s v="S29"/>
        <s v="S30"/>
        <s v="S31"/>
        <s v="S32"/>
        <s v="S33"/>
        <s v="S34"/>
        <s v="S35"/>
        <s v="S36"/>
        <s v="S37"/>
        <s v="S38"/>
        <s v="S39"/>
        <s v="S40"/>
        <s v="S41"/>
        <s v="S42"/>
        <s v="S43"/>
        <s v="S44"/>
        <s v="S45"/>
        <s v="S46"/>
        <s v="S47"/>
        <s v="S48"/>
        <s v="S49"/>
        <s v="S50"/>
        <s v="S51"/>
        <s v="S52"/>
        <s v="S53"/>
        <s v="S54"/>
        <s v="S55"/>
        <s v="S56"/>
        <s v="S59"/>
        <s v="S60"/>
        <s v="S61"/>
        <s v="S64"/>
        <s v="S65"/>
        <s v="S67"/>
        <s v="S68"/>
        <s v="S69"/>
        <s v="S70"/>
        <s v="S71"/>
      </sharedItems>
    </cacheField>
    <cacheField name="N°_date de paiement" numFmtId="0">
      <sharedItems/>
    </cacheField>
    <cacheField name="Base" numFmtId="0">
      <sharedItems count="5">
        <s v="VVT"/>
        <s v="Transversal"/>
        <s v="FNR"/>
        <s v="TNR"/>
        <e v="#N/A" u="1"/>
      </sharedItems>
    </cacheField>
    <cacheField name="Volet" numFmtId="0">
      <sharedItems/>
    </cacheField>
    <cacheField name="Noms et prénoms" numFmtId="0">
      <sharedItems count="73">
        <s v="RABERIAKA Gaëtan Henri"/>
        <s v="RAZAFIMAMONJY Luo"/>
        <s v="ANDRIATSILAVINA Harijaona Antoine"/>
        <s v="ANTOINE Gaston"/>
        <s v="GALY Luigi Florentin"/>
        <s v="MICHEL Voavy"/>
        <s v="RABESAHALA Aubry Celestin"/>
        <s v="RAKOTOELINORO Onjanandrianina Jean René"/>
        <s v="RAKOTONIRINA Rinon Charles"/>
        <s v="RANDRIANANTENAINA Alain"/>
        <s v="RAOUL"/>
        <s v="RAVOLAMBAHOAKA Benedictine"/>
        <s v="RAZAFINTSALAMA Herizo Nandrianintsoa"/>
        <s v="RENE"/>
        <s v="ROMBA Jean Chrisostome"/>
        <s v="TSIZAFY Arnaud Victorien"/>
        <s v="VELONASY"/>
        <s v="RAZAFINDRABODY Talata Bienvenu"/>
        <s v="RANDRIAMPENOMANANA Harinelina Faly"/>
        <s v="RAHARIZARASOA Manitrasina Sahoby"/>
        <s v="SOANIRINA Marie Brenda"/>
        <s v="MANAJA Beatrice"/>
        <s v="LAIHIAVY Boris"/>
        <s v="DAHY Christophe"/>
        <s v="RANDRIAMITOLONA Doris"/>
        <s v="LAMA Francisco Anicet"/>
        <s v="RASOA Marie Estheline"/>
        <s v="TOTO Rodin"/>
        <s v="BENY Sedrace Raissa"/>
        <s v="BIAKA Marie Jeanne"/>
        <s v="FABIOLAIN Jean Fidelice"/>
        <s v="TSARAVINTANA Francot"/>
        <s v="PEROLIN"/>
        <s v="SAMIANGALY Valerie Avotranirina"/>
        <s v="RAKOTONDRANAIVO Patrick"/>
        <s v="RAMANJAKAMBALO Judicael"/>
        <s v="RAMARA Haritiana Caroline"/>
        <s v="TSIRA Jean Christian"/>
        <s v="KWAN_KAI-TON Rasoanirina Lydie"/>
        <s v="RANDRIAMINOHARINIRINA Herinalaina"/>
        <s v="ZAFINDRAKOTO Mimix Clorin"/>
        <s v="HERIMAMINAVALONA Fifaliana"/>
        <s v="MAMONJISOA Heriniaina André"/>
        <s v="RAKOTOVAZAHA Jean Christophe"/>
        <s v="RAZAFIMAHEFA Jean Antonio"/>
        <s v="VICTORIEN Angeliot"/>
        <s v="VELONJARA Dolin"/>
        <s v="SEVA Jean Christophe"/>
        <s v="MEULI Jennio Stephan"/>
        <s v="SANDRINE"/>
        <s v="FALIMANANA Emerick"/>
        <s v="TOTOMORA Ghislain Zefania"/>
        <s v="SOMA Ginot"/>
        <s v="VOLAHAINGO Frida Samuella"/>
        <s v="RAZAFISOATERA Feno Ornella "/>
        <s v="SEDRANIAINA Santatra Irène "/>
        <s v="BAKOARISOA Hanitriniaina"/>
        <s v="RAKOTONDRABE Hery Solofo Patrick"/>
        <s v="RAHARISON Danny"/>
        <s v="FENOMANANA Syressi Tilamb"/>
        <s v="MAROLAHY Stanislas"/>
        <s v="BERY Jerson Alexandre"/>
        <s v="BIHANONA Elito"/>
        <s v="RAZAFINDRIANTSY Pierrot Carlos"/>
        <s v="YOURI Vincent"/>
        <s v="TOTO Hyacintte"/>
        <s v="TOTO Hyacinte  " u="1"/>
        <s v="TOTO Hyacintte  " u="1"/>
        <e v="#N/A" u="1"/>
        <s v="SOMA Ginot1" u="1"/>
        <s v="BETY Jerson Alexandre" u="1"/>
        <e v="#NAME?" u="1"/>
        <s v="SENDRANIAINA Santatra Irène " u="1"/>
      </sharedItems>
    </cacheField>
    <cacheField name="Surnom/prénom" numFmtId="0">
      <sharedItems/>
    </cacheField>
    <cacheField name="Fonction" numFmtId="0">
      <sharedItems count="32">
        <s v="Directeur d'antenne Vavatenina"/>
        <s v="Agent de maintenance/Mpikarakara foto-drafitr'asa"/>
        <s v="Encadreur technique"/>
        <s v="Technicien"/>
        <s v="Magasinier"/>
        <s v="Animateur"/>
        <s v="Assistant technique"/>
        <s v="Controleur maintenance"/>
        <s v="Gardien - Jardinier"/>
        <s v="Femme de ménage"/>
        <s v="Directeur"/>
        <s v="Directeur d'antenne Fénérive Est"/>
        <s v="Animatrice"/>
        <s v="Responsable constructions et gestion d'ouvrages"/>
        <s v="Controleur maintenance/construction"/>
        <s v="Agent administratif"/>
        <s v="Responsable administratif et financier"/>
        <s v="Chef d'antenne Tana"/>
        <s v="Assistante de programme"/>
        <s v="Assistante opérationnel"/>
        <s v="Assistant opérationnel"/>
        <s v="Coordinateur technique"/>
        <s v="Assistante administrative"/>
        <s v="Assistant de Programme"/>
        <s v="Caissière Magasinière"/>
        <s v="Directrice adjointe"/>
        <e v="#N/A" u="1"/>
        <s v="Directeur régional" u="1"/>
        <s v="Coordinateur socio-organisationnel" u="1"/>
        <s v="Socio-organisateur" u="1"/>
        <s v="Responsable de réseau" u="1"/>
        <e v="#NAME?" u="1"/>
      </sharedItems>
    </cacheField>
    <cacheField name="Date de paiement" numFmtId="0">
      <sharedItems containsSemiMixedTypes="0" containsNonDate="0" containsDate="1" containsString="0" minDate="2019-07-25T00:00:00" maxDate="2025-01-28T00:00:00" count="83">
        <d v="2019-07-25T00:00:00"/>
        <d v="2019-08-26T00:00:00"/>
        <d v="2019-09-26T00:00:00"/>
        <d v="2019-09-13T00:00:00"/>
        <d v="2019-10-25T00:00:00"/>
        <d v="2019-11-28T00:00:00"/>
        <d v="2019-12-20T00:00:00"/>
        <d v="2020-01-25T00:00:00"/>
        <d v="2020-02-20T00:00:00"/>
        <d v="2020-03-27T00:00:00"/>
        <d v="2020-03-31T00:00:00"/>
        <d v="2020-02-27T00:00:00"/>
        <d v="2020-04-29T00:00:00"/>
        <d v="2020-05-30T00:00:00"/>
        <d v="2020-06-24T00:00:00"/>
        <d v="2020-07-27T00:00:00"/>
        <d v="2020-07-28T00:00:00"/>
        <d v="2020-08-27T00:00:00"/>
        <d v="2020-08-31T00:00:00"/>
        <d v="2020-09-25T00:00:00"/>
        <d v="2020-09-30T00:00:00"/>
        <d v="2020-09-28T00:00:00"/>
        <d v="2020-10-29T00:00:00"/>
        <d v="2020-10-26T00:00:00"/>
        <d v="2020-10-27T00:00:00"/>
        <d v="2020-10-30T00:00:00"/>
        <d v="2020-11-27T00:00:00"/>
        <d v="2020-11-30T00:00:00"/>
        <d v="2020-12-18T00:00:00"/>
        <d v="2020-12-21T00:00:00"/>
        <d v="2020-12-22T00:00:00"/>
        <d v="2021-01-27T00:00:00"/>
        <d v="2021-01-11T00:00:00"/>
        <d v="2021-02-27T00:00:00"/>
        <d v="2021-03-26T00:00:00"/>
        <d v="2021-04-28T00:00:00"/>
        <d v="2021-05-27T00:00:00"/>
        <d v="2021-06-24T00:00:00"/>
        <d v="2021-07-27T00:00:00"/>
        <d v="2021-08-27T00:00:00"/>
        <d v="2021-09-28T00:00:00"/>
        <d v="2021-10-28T00:00:00"/>
        <d v="2021-11-26T00:00:00"/>
        <d v="2021-12-17T00:00:00"/>
        <d v="2022-01-27T00:00:00"/>
        <d v="2022-02-24T00:00:00"/>
        <d v="2022-03-24T00:00:00"/>
        <d v="2022-04-27T00:00:00"/>
        <d v="2022-05-26T00:00:00"/>
        <d v="2022-05-25T00:00:00"/>
        <d v="2022-06-23T00:00:00"/>
        <d v="2022-07-26T00:00:00"/>
        <d v="2022-08-25T00:00:00"/>
        <d v="2022-09-27T00:00:00"/>
        <d v="2022-10-27T00:00:00"/>
        <d v="2022-11-25T00:00:00"/>
        <d v="2022-12-21T00:00:00"/>
        <d v="2023-01-27T00:00:00"/>
        <d v="2023-01-26T00:00:00"/>
        <d v="2023-02-24T00:00:00"/>
        <d v="2023-03-27T00:00:00"/>
        <d v="2023-04-26T00:00:00"/>
        <d v="2023-05-26T00:00:00"/>
        <d v="2023-06-23T00:00:00"/>
        <d v="2023-07-26T00:00:00"/>
        <d v="2023-08-25T00:00:00"/>
        <d v="2023-09-25T00:00:00"/>
        <d v="2023-10-25T00:00:00"/>
        <d v="2023-11-27T00:00:00"/>
        <d v="2023-12-21T00:00:00"/>
        <d v="2024-01-30T00:00:00"/>
        <d v="2024-02-26T00:00:00"/>
        <d v="2024-03-26T00:00:00"/>
        <d v="2024-04-26T00:00:00"/>
        <d v="2024-05-27T00:00:00"/>
        <d v="2024-06-24T00:00:00"/>
        <d v="2024-07-24T00:00:00"/>
        <d v="2024-08-26T00:00:00"/>
        <d v="2024-09-25T00:00:00"/>
        <d v="2024-10-24T00:00:00"/>
        <d v="2024-11-26T00:00:00"/>
        <d v="2024-12-19T00:00:00"/>
        <d v="2025-01-27T00:00:00"/>
      </sharedItems>
      <fieldGroup par="32"/>
    </cacheField>
    <cacheField name="Mois paiement" numFmtId="0">
      <sharedItems containsSemiMixedTypes="0" containsNonDate="0" containsDate="1" containsString="0" minDate="2019-07-01T00:00:00" maxDate="2025-01-02T00:00:00" count="67"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</sharedItems>
      <fieldGroup par="29" base="8">
        <rangePr groupBy="months" startDate="2019-07-01T00:00:00" endDate="2025-01-02T00:00:00"/>
        <groupItems count="14">
          <s v="&lt;01/07/2019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2/01/2025"/>
        </groupItems>
      </fieldGroup>
    </cacheField>
    <cacheField name="Date salaire correspondante" numFmtId="0">
      <sharedItems containsSemiMixedTypes="0" containsNonDate="0" containsDate="1" containsString="0" minDate="2019-06-24T00:00:00" maxDate="2025-01-28T00:00:00"/>
    </cacheField>
    <cacheField name="Salaire net" numFmtId="169">
      <sharedItems containsMixedTypes="1" containsNumber="1" containsInteger="1" minValue="0" maxValue="3400000"/>
    </cacheField>
    <cacheField name="Salaire brut de base" numFmtId="0">
      <sharedItems containsSemiMixedTypes="0" containsString="0" containsNumber="1" containsInteger="1" minValue="8858" maxValue="4148479"/>
    </cacheField>
    <cacheField name="Salaire brut total" numFmtId="0">
      <sharedItems containsMixedTypes="1" containsNumber="1" containsInteger="1" minValue="8858" maxValue="4148479"/>
    </cacheField>
    <cacheField name="Majoration Travail de nuit gardien" numFmtId="169">
      <sharedItems containsSemiMixedTypes="0" containsString="0" containsNumber="1" containsInteger="1" minValue="0" maxValue="29608"/>
    </cacheField>
    <cacheField name="Majoration Dimanche Gardien" numFmtId="169">
      <sharedItems containsSemiMixedTypes="0" containsString="0" containsNumber="1" containsInteger="1" minValue="0" maxValue="22558"/>
    </cacheField>
    <cacheField name="Nb de jours fériés gardien" numFmtId="169">
      <sharedItems containsSemiMixedTypes="0" containsString="0" containsNumber="1" containsInteger="1" minValue="0" maxValue="2"/>
    </cacheField>
    <cacheField name="Nb d'heures remplacement gardien" numFmtId="169">
      <sharedItems containsSemiMixedTypes="0" containsString="0" containsNumber="1" containsInteger="1" minValue="0" maxValue="117"/>
    </cacheField>
    <cacheField name="CNaPS" numFmtId="166">
      <sharedItems containsMixedTypes="1" containsNumber="1" minValue="88.58" maxValue="21014.400000000001"/>
    </cacheField>
    <cacheField name="IRSA" numFmtId="0">
      <sharedItems containsMixedTypes="1" containsNumber="1" containsInteger="1" minValue="2000" maxValue="728993"/>
    </cacheField>
    <cacheField name="Base imposable" numFmtId="169">
      <sharedItems containsMixedTypes="1" containsNumber="1" containsInteger="1" minValue="8769" maxValue="4127465"/>
    </cacheField>
    <cacheField name="Déduction d'impôts" numFmtId="0">
      <sharedItems containsSemiMixedTypes="0" containsString="0" containsNumber="1" containsInteger="1" minValue="0" maxValue="8000"/>
    </cacheField>
    <cacheField name="Fanainga" numFmtId="0">
      <sharedItems containsBlank="1"/>
    </cacheField>
    <cacheField name="Salaires plafonnés" numFmtId="0">
      <sharedItems containsMixedTypes="1" containsNumber="1" containsInteger="1" minValue="8858" maxValue="1904000"/>
    </cacheField>
    <cacheField name="Charges total CNaPs et FMFP" numFmtId="169">
      <sharedItems containsMixedTypes="1" containsNumber="1" containsInteger="1" minValue="1329" maxValue="315216"/>
    </cacheField>
    <cacheField name="Date d'embauche" numFmtId="14">
      <sharedItems containsSemiMixedTypes="0" containsNonDate="0" containsDate="1" containsString="0" minDate="2018-08-01T00:00:00" maxDate="2024-11-02T00:00:00" count="37">
        <d v="2018-08-01T00:00:00"/>
        <d v="2019-07-01T00:00:00"/>
        <d v="2019-07-08T00:00:00"/>
        <d v="2019-09-02T00:00:00"/>
        <d v="2020-03-10T00:00:00"/>
        <d v="2020-03-31T00:00:00"/>
        <d v="2020-05-01T00:00:00"/>
        <d v="2020-05-14T00:00:00"/>
        <d v="2020-07-01T00:00:00"/>
        <d v="2020-08-01T00:00:00"/>
        <d v="2020-10-01T00:00:00"/>
        <d v="2020-11-02T00:00:00"/>
        <d v="2021-03-15T00:00:00"/>
        <d v="2021-03-01T00:00:00"/>
        <d v="2021-10-01T00:00:00"/>
        <d v="2021-10-04T00:00:00"/>
        <d v="2021-12-03T00:00:00"/>
        <d v="2022-01-05T00:00:00"/>
        <d v="2022-03-01T00:00:00"/>
        <d v="2022-04-01T00:00:00"/>
        <d v="2022-06-01T00:00:00"/>
        <d v="2022-06-13T00:00:00"/>
        <d v="2022-07-06T00:00:00"/>
        <d v="2022-07-01T00:00:00"/>
        <d v="2022-09-01T00:00:00"/>
        <d v="2022-10-11T00:00:00"/>
        <d v="2022-10-27T00:00:00"/>
        <d v="2023-03-02T00:00:00"/>
        <d v="2023-07-01T00:00:00"/>
        <d v="2023-08-01T00:00:00"/>
        <d v="2023-11-01T00:00:00"/>
        <d v="2024-02-01T00:00:00"/>
        <d v="2024-03-01T00:00:00"/>
        <d v="2024-11-01T00:00:00"/>
        <d v="2023-01-01T00:00:00" u="1"/>
        <d v="2023-04-01T00:00:00" u="1"/>
        <d v="2024-01-01T00:00:00" u="1"/>
      </sharedItems>
    </cacheField>
    <cacheField name="Date de débauchage" numFmtId="14">
      <sharedItems containsDate="1" containsMixedTypes="1" minDate="2019-10-31T00:00:00" maxDate="2025-01-26T00:00:00" count="26">
        <s v="/"/>
        <d v="2023-12-31T00:00:00"/>
        <d v="2024-01-11T00:00:00"/>
        <d v="2020-08-30T00:00:00"/>
        <d v="2019-10-31T00:00:00"/>
        <d v="2023-10-25T00:00:00"/>
        <d v="2021-01-11T00:00:00"/>
        <d v="2020-10-31T00:00:00"/>
        <d v="2021-10-04T00:00:00"/>
        <d v="2020-09-30T00:00:00"/>
        <d v="2020-07-30T00:00:00"/>
        <d v="2024-04-14T00:00:00"/>
        <d v="2025-01-15T00:00:00"/>
        <d v="2022-01-31T00:00:00"/>
        <d v="2024-10-15T00:00:00"/>
        <d v="2021-12-23T00:00:00"/>
        <d v="2025-01-25T00:00:00"/>
        <d v="2023-04-30T00:00:00"/>
        <d v="2022-09-30T00:00:00"/>
        <d v="2024-05-03T00:00:00"/>
        <d v="2023-03-31T00:00:00"/>
        <d v="2022-08-23T00:00:00"/>
        <d v="2023-07-05T00:00:00"/>
        <d v="2023-01-31T00:00:00"/>
        <d v="2023-09-08T00:00:00"/>
        <d v="2024-12-16T00:00:00" u="1"/>
      </sharedItems>
    </cacheField>
    <cacheField name="Classif prof" numFmtId="169">
      <sharedItems count="7">
        <s v="HC"/>
        <s v="OP2B"/>
        <s v="3A"/>
        <s v="OP3"/>
        <s v="OS2"/>
        <s v="M1"/>
        <e v="#REF!" u="1"/>
      </sharedItems>
    </cacheField>
    <cacheField name="Trimestre paiement" numFmtId="0">
      <sharedItems containsSemiMixedTypes="0" containsNonDate="0" containsDate="1" containsString="0" minDate="2019-07-01T00:00:00" maxDate="2025-01-02T00:00:00" count="23">
        <d v="2019-07-01T00:00:00"/>
        <d v="2019-10-01T00:00:00"/>
        <d v="2020-01-01T00:00:00"/>
        <d v="2020-04-01T00:00:00"/>
        <d v="2020-07-01T00:00:00"/>
        <d v="2020-10-01T00:00:00"/>
        <d v="2021-01-01T00:00:00"/>
        <d v="2021-04-01T00:00:00"/>
        <d v="2021-07-01T00:00:00"/>
        <d v="2021-10-01T00:00:00"/>
        <d v="2022-01-01T00:00:00"/>
        <d v="2022-04-01T00:00:00"/>
        <d v="2022-07-01T00:00:00"/>
        <d v="2022-10-01T00:00:00"/>
        <d v="2023-01-01T00:00:00"/>
        <d v="2023-04-01T00:00:00"/>
        <d v="2023-07-01T00:00:00"/>
        <d v="2023-10-01T00:00:00"/>
        <d v="2024-01-01T00:00:00"/>
        <d v="2024-04-01T00:00:00"/>
        <d v="2024-07-01T00:00:00"/>
        <d v="2024-10-01T00:00:00"/>
        <d v="2025-01-01T00:00:00"/>
      </sharedItems>
    </cacheField>
    <cacheField name="Trimestres" numFmtId="0" databaseField="0">
      <fieldGroup base="8">
        <rangePr groupBy="quarters" startDate="2019-07-01T00:00:00" endDate="2025-01-02T00:00:00"/>
        <groupItems count="6">
          <s v="&lt;01/07/2019"/>
          <s v="Trimestre1"/>
          <s v="Trimestre2"/>
          <s v="Trimestre3"/>
          <s v="Trimestre4"/>
          <s v="&gt;02/01/2025"/>
        </groupItems>
      </fieldGroup>
    </cacheField>
    <cacheField name="Années" numFmtId="0" databaseField="0">
      <fieldGroup base="8">
        <rangePr groupBy="years" startDate="2019-07-01T00:00:00" endDate="2025-01-02T00:00:00"/>
        <groupItems count="9">
          <s v="&lt;01/07/2019"/>
          <s v="2019"/>
          <s v="2020"/>
          <s v="2021"/>
          <s v="2022"/>
          <s v="2023"/>
          <s v="2024"/>
          <s v="2025"/>
          <s v="&gt;02/01/2025"/>
        </groupItems>
      </fieldGroup>
    </cacheField>
    <cacheField name="Mois (Date de paiement)" numFmtId="0" databaseField="0">
      <fieldGroup base="7">
        <rangePr groupBy="months" startDate="2019-07-25T00:00:00" endDate="2025-01-28T00:00:00"/>
        <groupItems count="14">
          <s v="&lt;25/07/2019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8/01/2025"/>
        </groupItems>
      </fieldGroup>
    </cacheField>
    <cacheField name="Trimestres (Date de paiement)" numFmtId="0" databaseField="0">
      <fieldGroup base="7">
        <rangePr groupBy="quarters" startDate="2019-07-25T00:00:00" endDate="2025-01-28T00:00:00"/>
        <groupItems count="6">
          <s v="&lt;25/07/2019"/>
          <s v="Trimestre1"/>
          <s v="Trimestre2"/>
          <s v="Trimestre3"/>
          <s v="Trimestre4"/>
          <s v="&gt;28/01/2025"/>
        </groupItems>
      </fieldGroup>
    </cacheField>
    <cacheField name="Années (Date de paiement)" numFmtId="0" databaseField="0">
      <fieldGroup base="7">
        <rangePr groupBy="years" startDate="2019-07-25T00:00:00" endDate="2025-01-28T00:00:00"/>
        <groupItems count="9">
          <s v="&lt;25/07/2019"/>
          <s v="2019"/>
          <s v="2020"/>
          <s v="2021"/>
          <s v="2022"/>
          <s v="2023"/>
          <s v="2024"/>
          <s v="2025"/>
          <s v="&gt;28/01/2025"/>
        </groupItems>
      </fieldGroup>
    </cacheField>
  </cacheFields>
  <extLst>
    <ext xmlns:x14="http://schemas.microsoft.com/office/spreadsheetml/2009/9/main" uri="{725AE2AE-9491-48be-B2B4-4EB974FC3084}">
      <x14:pivotCacheDefinition pivotCacheId="20064534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1">
  <r>
    <x v="0"/>
    <s v="S01_2019_7"/>
    <x v="0"/>
    <s v="Maintenance"/>
    <x v="0"/>
    <s v="Gaetan"/>
    <x v="0"/>
    <x v="0"/>
    <x v="0"/>
    <d v="2019-06-24T00:00:00"/>
    <n v="910000"/>
    <n v="1053030"/>
    <n v="1053030"/>
    <n v="0"/>
    <n v="0"/>
    <n v="0"/>
    <n v="0"/>
    <n v="10530.3"/>
    <n v="132500"/>
    <n v="1042500"/>
    <n v="6000"/>
    <m/>
    <n v="1053030"/>
    <n v="157955"/>
    <x v="0"/>
    <x v="0"/>
    <x v="0"/>
    <x v="0"/>
  </r>
  <r>
    <x v="1"/>
    <s v="S02_2019_7"/>
    <x v="0"/>
    <s v="Maintenance"/>
    <x v="1"/>
    <s v="Luo"/>
    <x v="1"/>
    <x v="0"/>
    <x v="0"/>
    <d v="2019-06-24T00:00:00"/>
    <n v="335000"/>
    <n v="340404"/>
    <n v="340404"/>
    <n v="0"/>
    <n v="0"/>
    <n v="0"/>
    <n v="0"/>
    <n v="3404.04"/>
    <n v="2000"/>
    <n v="337000"/>
    <n v="0"/>
    <m/>
    <n v="340404"/>
    <n v="51061"/>
    <x v="0"/>
    <x v="1"/>
    <x v="1"/>
    <x v="0"/>
  </r>
  <r>
    <x v="2"/>
    <s v="S03_2019_7"/>
    <x v="0"/>
    <s v="Maintenance"/>
    <x v="2"/>
    <s v="Tsilavina"/>
    <x v="1"/>
    <x v="0"/>
    <x v="0"/>
    <d v="2019-06-24T00:00:00"/>
    <n v="323000"/>
    <n v="328283"/>
    <n v="328283"/>
    <n v="0"/>
    <n v="0"/>
    <n v="0"/>
    <n v="0"/>
    <n v="3282.83"/>
    <n v="2000"/>
    <n v="325000"/>
    <n v="0"/>
    <m/>
    <n v="328283"/>
    <n v="49242"/>
    <x v="0"/>
    <x v="2"/>
    <x v="1"/>
    <x v="0"/>
  </r>
  <r>
    <x v="3"/>
    <s v="S04_2019_7"/>
    <x v="0"/>
    <s v="Transversal"/>
    <x v="3"/>
    <s v="Antoine"/>
    <x v="2"/>
    <x v="0"/>
    <x v="0"/>
    <d v="2019-07-25T00:00:00"/>
    <n v="590000"/>
    <n v="648990"/>
    <n v="648990"/>
    <n v="0"/>
    <n v="0"/>
    <n v="0"/>
    <n v="0"/>
    <n v="6489.9"/>
    <n v="52500"/>
    <n v="642500"/>
    <n v="6000"/>
    <m/>
    <n v="648990"/>
    <n v="97349"/>
    <x v="1"/>
    <x v="3"/>
    <x v="1"/>
    <x v="0"/>
  </r>
  <r>
    <x v="4"/>
    <s v="S05_2019_7"/>
    <x v="0"/>
    <s v="Transversal"/>
    <x v="4"/>
    <s v="Florentin"/>
    <x v="3"/>
    <x v="0"/>
    <x v="0"/>
    <d v="2019-07-25T00:00:00"/>
    <n v="420000"/>
    <n v="436869"/>
    <n v="436869"/>
    <n v="0"/>
    <n v="0"/>
    <n v="0"/>
    <n v="0"/>
    <n v="4368.6899999999996"/>
    <n v="12500"/>
    <n v="432500"/>
    <n v="4000"/>
    <m/>
    <n v="436869"/>
    <n v="65530"/>
    <x v="1"/>
    <x v="0"/>
    <x v="1"/>
    <x v="0"/>
  </r>
  <r>
    <x v="5"/>
    <s v="S06_2019_7"/>
    <x v="1"/>
    <s v="Transversal"/>
    <x v="5"/>
    <s v="Michel"/>
    <x v="4"/>
    <x v="0"/>
    <x v="0"/>
    <d v="2019-07-25T00:00:00"/>
    <n v="460000"/>
    <n v="484848"/>
    <n v="484848"/>
    <n v="0"/>
    <n v="0"/>
    <n v="0"/>
    <n v="0"/>
    <n v="4848.4799999999996"/>
    <n v="20000"/>
    <n v="480000"/>
    <n v="6000"/>
    <m/>
    <n v="484848"/>
    <n v="72727"/>
    <x v="1"/>
    <x v="1"/>
    <x v="2"/>
    <x v="0"/>
  </r>
  <r>
    <x v="6"/>
    <s v="S07_2019_7"/>
    <x v="0"/>
    <s v="Construction"/>
    <x v="6"/>
    <s v="Aubry"/>
    <x v="5"/>
    <x v="0"/>
    <x v="0"/>
    <d v="2019-07-25T00:00:00"/>
    <n v="298000"/>
    <n v="303030"/>
    <n v="303030"/>
    <n v="0"/>
    <n v="0"/>
    <n v="0"/>
    <n v="0"/>
    <n v="3030.3"/>
    <n v="2000"/>
    <n v="300000"/>
    <n v="0"/>
    <m/>
    <n v="303030"/>
    <n v="45455"/>
    <x v="1"/>
    <x v="4"/>
    <x v="1"/>
    <x v="0"/>
  </r>
  <r>
    <x v="7"/>
    <s v="S08_2019_7"/>
    <x v="0"/>
    <s v="Transversal"/>
    <x v="7"/>
    <s v="Onja"/>
    <x v="6"/>
    <x v="0"/>
    <x v="0"/>
    <d v="2019-07-25T00:00:00"/>
    <n v="480000"/>
    <n v="517677"/>
    <n v="517677"/>
    <n v="0"/>
    <n v="0"/>
    <n v="0"/>
    <n v="0"/>
    <n v="5176.7700000000004"/>
    <n v="32500"/>
    <n v="512500"/>
    <n v="0"/>
    <m/>
    <n v="517677"/>
    <n v="77652"/>
    <x v="2"/>
    <x v="0"/>
    <x v="0"/>
    <x v="0"/>
  </r>
  <r>
    <x v="8"/>
    <s v="S09_2019_7"/>
    <x v="2"/>
    <s v="Maintenance"/>
    <x v="8"/>
    <s v="Rinon"/>
    <x v="1"/>
    <x v="0"/>
    <x v="0"/>
    <d v="2019-07-25T00:00:00"/>
    <n v="310000"/>
    <n v="315152"/>
    <n v="315152"/>
    <n v="0"/>
    <n v="0"/>
    <n v="0"/>
    <n v="0"/>
    <n v="3151.52"/>
    <n v="2000"/>
    <n v="312000"/>
    <n v="2000"/>
    <m/>
    <n v="315152"/>
    <n v="47273"/>
    <x v="1"/>
    <x v="1"/>
    <x v="1"/>
    <x v="0"/>
  </r>
  <r>
    <x v="9"/>
    <s v="S10_2019_7"/>
    <x v="2"/>
    <s v="Maintenance"/>
    <x v="9"/>
    <s v="Alain"/>
    <x v="7"/>
    <x v="0"/>
    <x v="0"/>
    <d v="2019-07-25T00:00:00"/>
    <n v="320000"/>
    <n v="325253"/>
    <n v="325253"/>
    <n v="0"/>
    <n v="0"/>
    <n v="0"/>
    <n v="0"/>
    <n v="3252.53"/>
    <n v="2000"/>
    <n v="322000"/>
    <n v="2000"/>
    <m/>
    <n v="325253"/>
    <n v="48788"/>
    <x v="1"/>
    <x v="0"/>
    <x v="3"/>
    <x v="0"/>
  </r>
  <r>
    <x v="10"/>
    <s v="S11_2019_7"/>
    <x v="0"/>
    <s v="Transversal"/>
    <x v="10"/>
    <s v="Raoul"/>
    <x v="8"/>
    <x v="0"/>
    <x v="0"/>
    <d v="2019-07-25T00:00:00"/>
    <n v="244500"/>
    <n v="211486"/>
    <n v="248967"/>
    <n v="15840"/>
    <n v="12068"/>
    <n v="0"/>
    <n v="11"/>
    <n v="2489.67"/>
    <n v="2000"/>
    <n v="246477"/>
    <n v="6000"/>
    <m/>
    <n v="248967"/>
    <n v="37345"/>
    <x v="1"/>
    <x v="0"/>
    <x v="4"/>
    <x v="0"/>
  </r>
  <r>
    <x v="11"/>
    <s v="S12_2019_7"/>
    <x v="0"/>
    <s v="Transversal"/>
    <x v="11"/>
    <s v="Benedictine"/>
    <x v="9"/>
    <x v="0"/>
    <x v="0"/>
    <d v="2019-07-25T00:00:00"/>
    <n v="60000"/>
    <n v="62626"/>
    <n v="62626"/>
    <n v="0"/>
    <n v="0"/>
    <n v="0"/>
    <n v="0"/>
    <n v="626.26"/>
    <n v="2000"/>
    <n v="62000"/>
    <n v="6000"/>
    <m/>
    <n v="62626"/>
    <n v="9394"/>
    <x v="1"/>
    <x v="0"/>
    <x v="5"/>
    <x v="0"/>
  </r>
  <r>
    <x v="12"/>
    <s v="S13_2019_7"/>
    <x v="1"/>
    <s v="Transversal"/>
    <x v="12"/>
    <s v="Herizo"/>
    <x v="10"/>
    <x v="0"/>
    <x v="0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0"/>
  </r>
  <r>
    <x v="13"/>
    <s v="S14_2019_7"/>
    <x v="0"/>
    <s v="Transversal"/>
    <x v="13"/>
    <s v="Rene"/>
    <x v="8"/>
    <x v="0"/>
    <x v="0"/>
    <d v="2019-07-25T00:00:00"/>
    <n v="241100"/>
    <n v="211486"/>
    <n v="245486"/>
    <n v="15840"/>
    <n v="12068"/>
    <n v="0"/>
    <n v="7"/>
    <n v="2454.86"/>
    <n v="2000"/>
    <n v="243031"/>
    <n v="6000"/>
    <m/>
    <n v="245486"/>
    <n v="36823"/>
    <x v="1"/>
    <x v="0"/>
    <x v="4"/>
    <x v="0"/>
  </r>
  <r>
    <x v="14"/>
    <s v="S15_2019_7"/>
    <x v="2"/>
    <s v="Transversal"/>
    <x v="14"/>
    <s v="Chrisos"/>
    <x v="11"/>
    <x v="0"/>
    <x v="0"/>
    <d v="2019-07-25T00:00:00"/>
    <n v="800000"/>
    <n v="921717"/>
    <n v="921717"/>
    <n v="0"/>
    <n v="0"/>
    <n v="0"/>
    <n v="0"/>
    <n v="9217.17"/>
    <n v="112500"/>
    <n v="912500"/>
    <n v="0"/>
    <m/>
    <n v="921717"/>
    <n v="138258"/>
    <x v="1"/>
    <x v="5"/>
    <x v="0"/>
    <x v="0"/>
  </r>
  <r>
    <x v="15"/>
    <s v="S16_2019_7"/>
    <x v="0"/>
    <s v="Maintenance"/>
    <x v="15"/>
    <s v="Victorien"/>
    <x v="7"/>
    <x v="0"/>
    <x v="0"/>
    <d v="2019-07-25T00:00:00"/>
    <n v="370000"/>
    <n v="376263"/>
    <n v="376263"/>
    <n v="0"/>
    <n v="0"/>
    <n v="0"/>
    <n v="0"/>
    <n v="3762.63"/>
    <n v="2500"/>
    <n v="372500"/>
    <n v="2000"/>
    <m/>
    <n v="376263"/>
    <n v="56439"/>
    <x v="1"/>
    <x v="0"/>
    <x v="3"/>
    <x v="0"/>
  </r>
  <r>
    <x v="16"/>
    <s v="S17_2019_7"/>
    <x v="0"/>
    <s v="Transversal"/>
    <x v="16"/>
    <s v="Velonasy"/>
    <x v="8"/>
    <x v="0"/>
    <x v="0"/>
    <d v="2019-07-25T00:00:00"/>
    <n v="235000"/>
    <n v="211486"/>
    <n v="239394"/>
    <n v="15840"/>
    <n v="12068"/>
    <n v="0"/>
    <n v="0"/>
    <n v="2393.94"/>
    <n v="2000"/>
    <n v="237000"/>
    <n v="6000"/>
    <m/>
    <n v="239394"/>
    <n v="35909"/>
    <x v="1"/>
    <x v="0"/>
    <x v="4"/>
    <x v="0"/>
  </r>
  <r>
    <x v="0"/>
    <s v="S01_2019_8"/>
    <x v="0"/>
    <s v="Maintenance"/>
    <x v="0"/>
    <s v="Gaetan"/>
    <x v="0"/>
    <x v="1"/>
    <x v="1"/>
    <d v="2019-06-24T00:00:00"/>
    <n v="910000"/>
    <n v="1053030"/>
    <n v="1053030"/>
    <n v="0"/>
    <n v="0"/>
    <n v="0"/>
    <n v="0"/>
    <n v="10530.3"/>
    <n v="132500"/>
    <n v="1042500"/>
    <n v="6000"/>
    <m/>
    <n v="1053030"/>
    <n v="157955"/>
    <x v="0"/>
    <x v="0"/>
    <x v="0"/>
    <x v="0"/>
  </r>
  <r>
    <x v="1"/>
    <s v="S02_2019_8"/>
    <x v="0"/>
    <s v="Maintenance"/>
    <x v="1"/>
    <s v="Luo"/>
    <x v="1"/>
    <x v="1"/>
    <x v="1"/>
    <d v="2019-06-24T00:00:00"/>
    <n v="335000"/>
    <n v="340404"/>
    <n v="340404"/>
    <n v="0"/>
    <n v="0"/>
    <n v="0"/>
    <n v="0"/>
    <n v="3404.04"/>
    <n v="2000"/>
    <n v="337000"/>
    <n v="0"/>
    <m/>
    <n v="340404"/>
    <n v="51061"/>
    <x v="0"/>
    <x v="1"/>
    <x v="1"/>
    <x v="0"/>
  </r>
  <r>
    <x v="2"/>
    <s v="S03_2019_8"/>
    <x v="0"/>
    <s v="Maintenance"/>
    <x v="2"/>
    <s v="Tsilavina"/>
    <x v="1"/>
    <x v="1"/>
    <x v="1"/>
    <d v="2019-06-24T00:00:00"/>
    <n v="323000"/>
    <n v="328283"/>
    <n v="328283"/>
    <n v="0"/>
    <n v="0"/>
    <n v="0"/>
    <n v="0"/>
    <n v="3282.83"/>
    <n v="2000"/>
    <n v="325000"/>
    <n v="0"/>
    <m/>
    <n v="328283"/>
    <n v="49242"/>
    <x v="0"/>
    <x v="2"/>
    <x v="1"/>
    <x v="0"/>
  </r>
  <r>
    <x v="3"/>
    <s v="S04_2019_8"/>
    <x v="0"/>
    <s v="Transversal"/>
    <x v="3"/>
    <s v="Antoine"/>
    <x v="2"/>
    <x v="1"/>
    <x v="1"/>
    <d v="2019-07-25T00:00:00"/>
    <n v="590000"/>
    <n v="648990"/>
    <n v="648990"/>
    <n v="0"/>
    <n v="0"/>
    <n v="0"/>
    <n v="0"/>
    <n v="6489.9"/>
    <n v="52500"/>
    <n v="642500"/>
    <n v="6000"/>
    <m/>
    <n v="648990"/>
    <n v="97349"/>
    <x v="1"/>
    <x v="3"/>
    <x v="1"/>
    <x v="0"/>
  </r>
  <r>
    <x v="4"/>
    <s v="S05_2019_8"/>
    <x v="0"/>
    <s v="Transversal"/>
    <x v="4"/>
    <s v="Florentin"/>
    <x v="3"/>
    <x v="1"/>
    <x v="1"/>
    <d v="2019-07-25T00:00:00"/>
    <n v="420000"/>
    <n v="436869"/>
    <n v="436869"/>
    <n v="0"/>
    <n v="0"/>
    <n v="0"/>
    <n v="0"/>
    <n v="4368.6899999999996"/>
    <n v="12500"/>
    <n v="432500"/>
    <n v="4000"/>
    <m/>
    <n v="436869"/>
    <n v="65530"/>
    <x v="1"/>
    <x v="0"/>
    <x v="1"/>
    <x v="0"/>
  </r>
  <r>
    <x v="5"/>
    <s v="S06_2019_8"/>
    <x v="1"/>
    <s v="Transversal"/>
    <x v="5"/>
    <s v="Michel"/>
    <x v="4"/>
    <x v="1"/>
    <x v="1"/>
    <d v="2019-07-25T00:00:00"/>
    <n v="460000"/>
    <n v="484848"/>
    <n v="484848"/>
    <n v="0"/>
    <n v="0"/>
    <n v="0"/>
    <n v="0"/>
    <n v="4848.4799999999996"/>
    <n v="20000"/>
    <n v="480000"/>
    <n v="6000"/>
    <m/>
    <n v="484848"/>
    <n v="72727"/>
    <x v="1"/>
    <x v="1"/>
    <x v="2"/>
    <x v="0"/>
  </r>
  <r>
    <x v="6"/>
    <s v="S07_2019_8"/>
    <x v="0"/>
    <s v="Construction"/>
    <x v="6"/>
    <s v="Aubry"/>
    <x v="5"/>
    <x v="1"/>
    <x v="1"/>
    <d v="2019-07-25T00:00:00"/>
    <n v="298000"/>
    <n v="303030"/>
    <n v="303030"/>
    <n v="0"/>
    <n v="0"/>
    <n v="0"/>
    <n v="0"/>
    <n v="3030.3"/>
    <n v="2000"/>
    <n v="300000"/>
    <n v="0"/>
    <m/>
    <n v="303030"/>
    <n v="45455"/>
    <x v="1"/>
    <x v="4"/>
    <x v="1"/>
    <x v="0"/>
  </r>
  <r>
    <x v="7"/>
    <s v="S08_2019_8"/>
    <x v="0"/>
    <s v="Transversal"/>
    <x v="7"/>
    <s v="Onja"/>
    <x v="6"/>
    <x v="1"/>
    <x v="1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0"/>
  </r>
  <r>
    <x v="8"/>
    <s v="S09_2019_8"/>
    <x v="2"/>
    <s v="Maintenance"/>
    <x v="8"/>
    <s v="Rinon"/>
    <x v="1"/>
    <x v="1"/>
    <x v="1"/>
    <d v="2019-07-25T00:00:00"/>
    <n v="310000"/>
    <n v="315152"/>
    <n v="315152"/>
    <n v="0"/>
    <n v="0"/>
    <n v="0"/>
    <n v="0"/>
    <n v="3151.52"/>
    <n v="2000"/>
    <n v="312000"/>
    <n v="2000"/>
    <m/>
    <n v="315152"/>
    <n v="47273"/>
    <x v="1"/>
    <x v="1"/>
    <x v="1"/>
    <x v="0"/>
  </r>
  <r>
    <x v="9"/>
    <s v="S10_2019_8"/>
    <x v="2"/>
    <s v="Maintenance"/>
    <x v="9"/>
    <s v="Alain"/>
    <x v="7"/>
    <x v="1"/>
    <x v="1"/>
    <d v="2019-07-25T00:00:00"/>
    <n v="320000"/>
    <n v="325253"/>
    <n v="325253"/>
    <n v="0"/>
    <n v="0"/>
    <n v="0"/>
    <n v="0"/>
    <n v="3252.53"/>
    <n v="2000"/>
    <n v="322000"/>
    <n v="2000"/>
    <m/>
    <n v="325253"/>
    <n v="48788"/>
    <x v="1"/>
    <x v="0"/>
    <x v="3"/>
    <x v="0"/>
  </r>
  <r>
    <x v="10"/>
    <s v="S11_2019_8"/>
    <x v="0"/>
    <s v="Transversal"/>
    <x v="10"/>
    <s v="Raoul"/>
    <x v="8"/>
    <x v="1"/>
    <x v="1"/>
    <d v="2019-08-26T00:00:00"/>
    <n v="235000"/>
    <n v="211486"/>
    <n v="239394"/>
    <n v="15840"/>
    <n v="12068"/>
    <n v="0"/>
    <n v="0"/>
    <n v="2393.94"/>
    <n v="2000"/>
    <n v="237000"/>
    <n v="6000"/>
    <m/>
    <n v="239394"/>
    <n v="35909"/>
    <x v="1"/>
    <x v="0"/>
    <x v="4"/>
    <x v="0"/>
  </r>
  <r>
    <x v="11"/>
    <s v="S12_2019_8"/>
    <x v="0"/>
    <s v="Transversal"/>
    <x v="11"/>
    <s v="Benedictine"/>
    <x v="9"/>
    <x v="1"/>
    <x v="1"/>
    <d v="2019-07-25T00:00:00"/>
    <n v="60000"/>
    <n v="62626"/>
    <n v="62626"/>
    <n v="0"/>
    <n v="0"/>
    <n v="0"/>
    <n v="0"/>
    <n v="626.26"/>
    <n v="2000"/>
    <n v="62000"/>
    <n v="6000"/>
    <m/>
    <n v="62626"/>
    <n v="9394"/>
    <x v="1"/>
    <x v="0"/>
    <x v="5"/>
    <x v="0"/>
  </r>
  <r>
    <x v="12"/>
    <s v="S13_2019_8"/>
    <x v="1"/>
    <s v="Transversal"/>
    <x v="12"/>
    <s v="Herizo"/>
    <x v="10"/>
    <x v="1"/>
    <x v="1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0"/>
  </r>
  <r>
    <x v="13"/>
    <s v="S14_2019_8"/>
    <x v="0"/>
    <s v="Transversal"/>
    <x v="13"/>
    <s v="Rene"/>
    <x v="8"/>
    <x v="1"/>
    <x v="1"/>
    <d v="2019-08-26T00:00:00"/>
    <n v="269500"/>
    <n v="211486"/>
    <n v="274207"/>
    <n v="15840"/>
    <n v="12068"/>
    <n v="1"/>
    <n v="35"/>
    <n v="2742.07"/>
    <n v="2000"/>
    <n v="271465"/>
    <n v="6000"/>
    <m/>
    <n v="274207"/>
    <n v="41131"/>
    <x v="1"/>
    <x v="0"/>
    <x v="4"/>
    <x v="0"/>
  </r>
  <r>
    <x v="14"/>
    <s v="S15_2019_8"/>
    <x v="2"/>
    <s v="Transversal"/>
    <x v="14"/>
    <s v="Chrisos"/>
    <x v="11"/>
    <x v="1"/>
    <x v="1"/>
    <d v="2019-07-25T00:00:00"/>
    <n v="800000"/>
    <n v="921717"/>
    <n v="921717"/>
    <n v="0"/>
    <n v="0"/>
    <n v="0"/>
    <n v="0"/>
    <n v="9217.17"/>
    <n v="112500"/>
    <n v="912500"/>
    <n v="0"/>
    <m/>
    <n v="921717"/>
    <n v="138258"/>
    <x v="1"/>
    <x v="5"/>
    <x v="0"/>
    <x v="0"/>
  </r>
  <r>
    <x v="15"/>
    <s v="S16_2019_8"/>
    <x v="0"/>
    <s v="Maintenance"/>
    <x v="15"/>
    <s v="Victorien"/>
    <x v="7"/>
    <x v="1"/>
    <x v="1"/>
    <d v="2019-07-25T00:00:00"/>
    <n v="370000"/>
    <n v="376263"/>
    <n v="376263"/>
    <n v="0"/>
    <n v="0"/>
    <n v="0"/>
    <n v="0"/>
    <n v="3762.63"/>
    <n v="2500"/>
    <n v="372500"/>
    <n v="2000"/>
    <m/>
    <n v="376263"/>
    <n v="56439"/>
    <x v="1"/>
    <x v="0"/>
    <x v="3"/>
    <x v="0"/>
  </r>
  <r>
    <x v="16"/>
    <s v="S17_2019_8"/>
    <x v="0"/>
    <s v="Transversal"/>
    <x v="16"/>
    <s v="Velonasy"/>
    <x v="8"/>
    <x v="1"/>
    <x v="1"/>
    <d v="2019-08-26T00:00:00"/>
    <n v="253100"/>
    <n v="211486"/>
    <n v="257671"/>
    <n v="15840"/>
    <n v="12068"/>
    <n v="0"/>
    <n v="21"/>
    <n v="2576.71"/>
    <n v="2000"/>
    <n v="255094"/>
    <n v="6000"/>
    <m/>
    <n v="257671"/>
    <n v="38651"/>
    <x v="1"/>
    <x v="0"/>
    <x v="4"/>
    <x v="0"/>
  </r>
  <r>
    <x v="0"/>
    <s v="S01_2019_9"/>
    <x v="0"/>
    <s v="Maintenance"/>
    <x v="0"/>
    <s v="Gaetan"/>
    <x v="0"/>
    <x v="2"/>
    <x v="2"/>
    <d v="2019-06-24T00:00:00"/>
    <n v="910000"/>
    <n v="1053030"/>
    <n v="1053030"/>
    <n v="0"/>
    <n v="0"/>
    <n v="0"/>
    <n v="0"/>
    <n v="10530.3"/>
    <n v="132500"/>
    <n v="1042500"/>
    <n v="6000"/>
    <m/>
    <n v="1053030"/>
    <n v="157955"/>
    <x v="0"/>
    <x v="0"/>
    <x v="0"/>
    <x v="0"/>
  </r>
  <r>
    <x v="1"/>
    <s v="S02_2019_9"/>
    <x v="0"/>
    <s v="Maintenance"/>
    <x v="1"/>
    <s v="Luo"/>
    <x v="1"/>
    <x v="3"/>
    <x v="2"/>
    <d v="2019-06-24T00:00:00"/>
    <n v="335000"/>
    <n v="340404"/>
    <n v="340404"/>
    <n v="0"/>
    <n v="0"/>
    <n v="0"/>
    <n v="0"/>
    <n v="3404.04"/>
    <n v="2000"/>
    <n v="337000"/>
    <n v="0"/>
    <m/>
    <n v="340404"/>
    <n v="51061"/>
    <x v="0"/>
    <x v="1"/>
    <x v="1"/>
    <x v="0"/>
  </r>
  <r>
    <x v="2"/>
    <s v="S03_2019_9"/>
    <x v="0"/>
    <s v="Maintenance"/>
    <x v="2"/>
    <s v="Tsilavina"/>
    <x v="1"/>
    <x v="2"/>
    <x v="2"/>
    <d v="2019-06-24T00:00:00"/>
    <n v="323000"/>
    <n v="328283"/>
    <n v="328283"/>
    <n v="0"/>
    <n v="0"/>
    <n v="0"/>
    <n v="0"/>
    <n v="3282.83"/>
    <n v="2000"/>
    <n v="325000"/>
    <n v="0"/>
    <m/>
    <n v="328283"/>
    <n v="49242"/>
    <x v="0"/>
    <x v="2"/>
    <x v="1"/>
    <x v="0"/>
  </r>
  <r>
    <x v="3"/>
    <s v="S04_2019_9"/>
    <x v="0"/>
    <s v="Transversal"/>
    <x v="3"/>
    <s v="Antoine"/>
    <x v="2"/>
    <x v="2"/>
    <x v="2"/>
    <d v="2019-07-25T00:00:00"/>
    <n v="590000"/>
    <n v="648990"/>
    <n v="648990"/>
    <n v="0"/>
    <n v="0"/>
    <n v="0"/>
    <n v="0"/>
    <n v="6489.9"/>
    <n v="52500"/>
    <n v="642500"/>
    <n v="6000"/>
    <m/>
    <n v="648990"/>
    <n v="97349"/>
    <x v="1"/>
    <x v="3"/>
    <x v="1"/>
    <x v="0"/>
  </r>
  <r>
    <x v="4"/>
    <s v="S05_2019_9"/>
    <x v="0"/>
    <s v="Transversal"/>
    <x v="4"/>
    <s v="Florentin"/>
    <x v="3"/>
    <x v="2"/>
    <x v="2"/>
    <d v="2019-07-25T00:00:00"/>
    <n v="420000"/>
    <n v="436869"/>
    <n v="436869"/>
    <n v="0"/>
    <n v="0"/>
    <n v="0"/>
    <n v="0"/>
    <n v="4368.6899999999996"/>
    <n v="12500"/>
    <n v="432500"/>
    <n v="4000"/>
    <m/>
    <n v="436869"/>
    <n v="65530"/>
    <x v="1"/>
    <x v="0"/>
    <x v="1"/>
    <x v="0"/>
  </r>
  <r>
    <x v="5"/>
    <s v="S06_2019_9"/>
    <x v="1"/>
    <s v="Transversal"/>
    <x v="5"/>
    <s v="Michel"/>
    <x v="4"/>
    <x v="2"/>
    <x v="2"/>
    <d v="2019-07-25T00:00:00"/>
    <n v="460000"/>
    <n v="484848"/>
    <n v="484848"/>
    <n v="0"/>
    <n v="0"/>
    <n v="0"/>
    <n v="0"/>
    <n v="4848.4799999999996"/>
    <n v="20000"/>
    <n v="480000"/>
    <n v="6000"/>
    <m/>
    <n v="484848"/>
    <n v="72727"/>
    <x v="1"/>
    <x v="1"/>
    <x v="2"/>
    <x v="0"/>
  </r>
  <r>
    <x v="6"/>
    <s v="S07_2019_9"/>
    <x v="0"/>
    <s v="Construction"/>
    <x v="6"/>
    <s v="Aubry"/>
    <x v="5"/>
    <x v="2"/>
    <x v="2"/>
    <d v="2019-07-25T00:00:00"/>
    <n v="298000"/>
    <n v="303030"/>
    <n v="303030"/>
    <n v="0"/>
    <n v="0"/>
    <n v="0"/>
    <n v="0"/>
    <n v="3030.3"/>
    <n v="2000"/>
    <n v="300000"/>
    <n v="0"/>
    <m/>
    <n v="303030"/>
    <n v="45455"/>
    <x v="1"/>
    <x v="4"/>
    <x v="1"/>
    <x v="0"/>
  </r>
  <r>
    <x v="7"/>
    <s v="S08_2019_9"/>
    <x v="0"/>
    <s v="Transversal"/>
    <x v="7"/>
    <s v="Onja"/>
    <x v="6"/>
    <x v="2"/>
    <x v="2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0"/>
  </r>
  <r>
    <x v="8"/>
    <s v="S09_2019_9"/>
    <x v="2"/>
    <s v="Maintenance"/>
    <x v="8"/>
    <s v="Rinon"/>
    <x v="1"/>
    <x v="2"/>
    <x v="2"/>
    <d v="2019-07-25T00:00:00"/>
    <n v="310000"/>
    <n v="315152"/>
    <n v="315152"/>
    <n v="0"/>
    <n v="0"/>
    <n v="0"/>
    <n v="0"/>
    <n v="3151.52"/>
    <n v="2000"/>
    <n v="312000"/>
    <n v="2000"/>
    <m/>
    <n v="315152"/>
    <n v="47273"/>
    <x v="1"/>
    <x v="1"/>
    <x v="1"/>
    <x v="0"/>
  </r>
  <r>
    <x v="9"/>
    <s v="S10_2019_9"/>
    <x v="2"/>
    <s v="Maintenance"/>
    <x v="9"/>
    <s v="Alain"/>
    <x v="7"/>
    <x v="2"/>
    <x v="2"/>
    <d v="2019-07-25T00:00:00"/>
    <n v="320000"/>
    <n v="325253"/>
    <n v="325253"/>
    <n v="0"/>
    <n v="0"/>
    <n v="0"/>
    <n v="0"/>
    <n v="3252.53"/>
    <n v="2000"/>
    <n v="322000"/>
    <n v="2000"/>
    <m/>
    <n v="325253"/>
    <n v="48788"/>
    <x v="1"/>
    <x v="0"/>
    <x v="3"/>
    <x v="0"/>
  </r>
  <r>
    <x v="10"/>
    <s v="S11_2019_9"/>
    <x v="0"/>
    <s v="Transversal"/>
    <x v="10"/>
    <s v="Raoul"/>
    <x v="8"/>
    <x v="2"/>
    <x v="2"/>
    <d v="2019-07-25T00:00:00"/>
    <n v="244500"/>
    <n v="211486"/>
    <n v="248967"/>
    <n v="15840"/>
    <n v="12068"/>
    <n v="0"/>
    <n v="11"/>
    <n v="2489.67"/>
    <n v="2000"/>
    <n v="246477"/>
    <n v="6000"/>
    <m/>
    <n v="248967"/>
    <n v="37345"/>
    <x v="1"/>
    <x v="0"/>
    <x v="4"/>
    <x v="0"/>
  </r>
  <r>
    <x v="11"/>
    <s v="S12_2019_9"/>
    <x v="0"/>
    <s v="Transversal"/>
    <x v="11"/>
    <s v="Benedictine"/>
    <x v="9"/>
    <x v="2"/>
    <x v="2"/>
    <d v="2019-07-25T00:00:00"/>
    <n v="60000"/>
    <n v="62626"/>
    <n v="62626"/>
    <n v="0"/>
    <n v="0"/>
    <n v="0"/>
    <n v="0"/>
    <n v="626.26"/>
    <n v="2000"/>
    <n v="62000"/>
    <n v="6000"/>
    <m/>
    <n v="62626"/>
    <n v="9394"/>
    <x v="1"/>
    <x v="0"/>
    <x v="5"/>
    <x v="0"/>
  </r>
  <r>
    <x v="12"/>
    <s v="S13_2019_9"/>
    <x v="1"/>
    <s v="Transversal"/>
    <x v="12"/>
    <s v="Herizo"/>
    <x v="10"/>
    <x v="2"/>
    <x v="2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0"/>
  </r>
  <r>
    <x v="13"/>
    <s v="S14_2019_9"/>
    <x v="0"/>
    <s v="Transversal"/>
    <x v="13"/>
    <s v="Rene"/>
    <x v="8"/>
    <x v="2"/>
    <x v="2"/>
    <d v="2019-09-26T00:00:00"/>
    <n v="235000"/>
    <n v="211486"/>
    <n v="239394"/>
    <n v="15840"/>
    <n v="12068"/>
    <n v="0"/>
    <n v="0"/>
    <n v="2393.94"/>
    <n v="2000"/>
    <n v="237000"/>
    <n v="6000"/>
    <m/>
    <n v="239394"/>
    <n v="35909"/>
    <x v="1"/>
    <x v="0"/>
    <x v="4"/>
    <x v="0"/>
  </r>
  <r>
    <x v="14"/>
    <s v="S15_2019_9"/>
    <x v="2"/>
    <s v="Transversal"/>
    <x v="14"/>
    <s v="Chrisos"/>
    <x v="11"/>
    <x v="2"/>
    <x v="2"/>
    <d v="2019-07-25T00:00:00"/>
    <n v="800000"/>
    <n v="921717"/>
    <n v="921717"/>
    <n v="0"/>
    <n v="0"/>
    <n v="0"/>
    <n v="0"/>
    <n v="9217.17"/>
    <n v="112500"/>
    <n v="912500"/>
    <n v="0"/>
    <m/>
    <n v="921717"/>
    <n v="138258"/>
    <x v="1"/>
    <x v="5"/>
    <x v="0"/>
    <x v="0"/>
  </r>
  <r>
    <x v="15"/>
    <s v="S16_2019_9"/>
    <x v="0"/>
    <s v="Maintenance"/>
    <x v="15"/>
    <s v="Victorien"/>
    <x v="7"/>
    <x v="2"/>
    <x v="2"/>
    <d v="2019-07-25T00:00:00"/>
    <n v="370000"/>
    <n v="376263"/>
    <n v="376263"/>
    <n v="0"/>
    <n v="0"/>
    <n v="0"/>
    <n v="0"/>
    <n v="3762.63"/>
    <n v="2500"/>
    <n v="372500"/>
    <n v="2000"/>
    <m/>
    <n v="376263"/>
    <n v="56439"/>
    <x v="1"/>
    <x v="0"/>
    <x v="3"/>
    <x v="0"/>
  </r>
  <r>
    <x v="16"/>
    <s v="S17_2019_9"/>
    <x v="0"/>
    <s v="Transversal"/>
    <x v="16"/>
    <s v="Velonasy"/>
    <x v="8"/>
    <x v="2"/>
    <x v="2"/>
    <d v="2019-09-26T00:00:00"/>
    <n v="248800"/>
    <n v="211486"/>
    <n v="253319"/>
    <n v="15840"/>
    <n v="12068"/>
    <n v="1"/>
    <n v="11"/>
    <n v="2533.19"/>
    <n v="2000"/>
    <n v="250786"/>
    <n v="6000"/>
    <m/>
    <n v="253319"/>
    <n v="37998"/>
    <x v="1"/>
    <x v="0"/>
    <x v="4"/>
    <x v="0"/>
  </r>
  <r>
    <x v="17"/>
    <s v="S18_2019_9"/>
    <x v="0"/>
    <s v="Construction"/>
    <x v="17"/>
    <s v="Bienvenu"/>
    <x v="5"/>
    <x v="2"/>
    <x v="2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0"/>
  </r>
  <r>
    <x v="0"/>
    <s v="S01_2019_10"/>
    <x v="0"/>
    <s v="Maintenance"/>
    <x v="0"/>
    <s v="Gaetan"/>
    <x v="0"/>
    <x v="4"/>
    <x v="3"/>
    <d v="2019-06-24T00:00:00"/>
    <n v="910000"/>
    <n v="1053030"/>
    <n v="1053030"/>
    <n v="0"/>
    <n v="0"/>
    <n v="0"/>
    <n v="0"/>
    <n v="10530.3"/>
    <n v="132500"/>
    <n v="1042500"/>
    <n v="6000"/>
    <m/>
    <n v="1053030"/>
    <n v="157955"/>
    <x v="0"/>
    <x v="0"/>
    <x v="0"/>
    <x v="1"/>
  </r>
  <r>
    <x v="1"/>
    <s v="S02_2019_10"/>
    <x v="0"/>
    <s v="Maintenance"/>
    <x v="1"/>
    <s v="Luo"/>
    <x v="1"/>
    <x v="4"/>
    <x v="3"/>
    <d v="2019-06-24T00:00:00"/>
    <n v="335000"/>
    <n v="340404"/>
    <n v="340404"/>
    <n v="0"/>
    <n v="0"/>
    <n v="0"/>
    <n v="0"/>
    <n v="3404.04"/>
    <n v="2000"/>
    <n v="337000"/>
    <n v="0"/>
    <m/>
    <n v="340404"/>
    <n v="51061"/>
    <x v="0"/>
    <x v="1"/>
    <x v="1"/>
    <x v="1"/>
  </r>
  <r>
    <x v="2"/>
    <s v="S03_2019_10"/>
    <x v="0"/>
    <s v="Maintenance"/>
    <x v="2"/>
    <s v="Tsilavina"/>
    <x v="1"/>
    <x v="4"/>
    <x v="3"/>
    <d v="2019-06-24T00:00:00"/>
    <n v="323000"/>
    <n v="328283"/>
    <n v="328283"/>
    <n v="0"/>
    <n v="0"/>
    <n v="0"/>
    <n v="0"/>
    <n v="3282.83"/>
    <n v="2000"/>
    <n v="325000"/>
    <n v="0"/>
    <m/>
    <n v="328283"/>
    <n v="49242"/>
    <x v="0"/>
    <x v="2"/>
    <x v="1"/>
    <x v="1"/>
  </r>
  <r>
    <x v="3"/>
    <s v="S04_2019_10"/>
    <x v="0"/>
    <s v="Transversal"/>
    <x v="3"/>
    <s v="Antoine"/>
    <x v="2"/>
    <x v="4"/>
    <x v="3"/>
    <d v="2019-07-25T00:00:00"/>
    <n v="590000"/>
    <n v="648990"/>
    <n v="648990"/>
    <n v="0"/>
    <n v="0"/>
    <n v="0"/>
    <n v="0"/>
    <n v="6489.9"/>
    <n v="52500"/>
    <n v="642500"/>
    <n v="6000"/>
    <m/>
    <n v="648990"/>
    <n v="97349"/>
    <x v="1"/>
    <x v="3"/>
    <x v="1"/>
    <x v="1"/>
  </r>
  <r>
    <x v="4"/>
    <s v="S05_2019_10"/>
    <x v="0"/>
    <s v="Transversal"/>
    <x v="4"/>
    <s v="Florentin"/>
    <x v="3"/>
    <x v="4"/>
    <x v="3"/>
    <d v="2019-07-25T00:00:00"/>
    <n v="420000"/>
    <n v="436869"/>
    <n v="436869"/>
    <n v="0"/>
    <n v="0"/>
    <n v="0"/>
    <n v="0"/>
    <n v="4368.6899999999996"/>
    <n v="12500"/>
    <n v="432500"/>
    <n v="4000"/>
    <m/>
    <n v="436869"/>
    <n v="65530"/>
    <x v="1"/>
    <x v="0"/>
    <x v="1"/>
    <x v="1"/>
  </r>
  <r>
    <x v="5"/>
    <s v="S06_2019_10"/>
    <x v="1"/>
    <s v="Transversal"/>
    <x v="5"/>
    <s v="Michel"/>
    <x v="4"/>
    <x v="4"/>
    <x v="3"/>
    <d v="2019-07-25T00:00:00"/>
    <n v="460000"/>
    <n v="484848"/>
    <n v="484848"/>
    <n v="0"/>
    <n v="0"/>
    <n v="0"/>
    <n v="0"/>
    <n v="4848.4799999999996"/>
    <n v="20000"/>
    <n v="480000"/>
    <n v="6000"/>
    <m/>
    <n v="484848"/>
    <n v="72727"/>
    <x v="1"/>
    <x v="1"/>
    <x v="2"/>
    <x v="1"/>
  </r>
  <r>
    <x v="6"/>
    <s v="S07_2019_10"/>
    <x v="0"/>
    <s v="Construction"/>
    <x v="6"/>
    <s v="Aubry"/>
    <x v="5"/>
    <x v="4"/>
    <x v="3"/>
    <d v="2019-07-25T00:00:00"/>
    <n v="298000"/>
    <n v="303030"/>
    <n v="303030"/>
    <n v="0"/>
    <n v="0"/>
    <n v="0"/>
    <n v="0"/>
    <n v="3030.3"/>
    <n v="2000"/>
    <n v="300000"/>
    <n v="0"/>
    <m/>
    <n v="303030"/>
    <n v="45455"/>
    <x v="1"/>
    <x v="4"/>
    <x v="1"/>
    <x v="1"/>
  </r>
  <r>
    <x v="7"/>
    <s v="S08_2019_10"/>
    <x v="0"/>
    <s v="Transversal"/>
    <x v="7"/>
    <s v="Onja"/>
    <x v="6"/>
    <x v="4"/>
    <x v="3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1"/>
  </r>
  <r>
    <x v="8"/>
    <s v="S09_2019_10"/>
    <x v="2"/>
    <s v="Maintenance"/>
    <x v="8"/>
    <s v="Rinon"/>
    <x v="1"/>
    <x v="4"/>
    <x v="3"/>
    <d v="2019-07-25T00:00:00"/>
    <n v="310000"/>
    <n v="315152"/>
    <n v="315152"/>
    <n v="0"/>
    <n v="0"/>
    <n v="0"/>
    <n v="0"/>
    <n v="3151.52"/>
    <n v="2000"/>
    <n v="312000"/>
    <n v="2000"/>
    <m/>
    <n v="315152"/>
    <n v="47273"/>
    <x v="1"/>
    <x v="1"/>
    <x v="1"/>
    <x v="1"/>
  </r>
  <r>
    <x v="9"/>
    <s v="S10_2019_10"/>
    <x v="2"/>
    <s v="Maintenance"/>
    <x v="9"/>
    <s v="Alain"/>
    <x v="7"/>
    <x v="4"/>
    <x v="3"/>
    <d v="2019-07-25T00:00:00"/>
    <n v="320000"/>
    <n v="325253"/>
    <n v="325253"/>
    <n v="0"/>
    <n v="0"/>
    <n v="0"/>
    <n v="0"/>
    <n v="3252.53"/>
    <n v="2000"/>
    <n v="322000"/>
    <n v="2000"/>
    <m/>
    <n v="325253"/>
    <n v="48788"/>
    <x v="1"/>
    <x v="0"/>
    <x v="3"/>
    <x v="1"/>
  </r>
  <r>
    <x v="10"/>
    <s v="S11_2019_10"/>
    <x v="0"/>
    <s v="Transversal"/>
    <x v="10"/>
    <s v="Raoul"/>
    <x v="8"/>
    <x v="4"/>
    <x v="3"/>
    <d v="2019-10-25T00:00:00"/>
    <n v="265200"/>
    <n v="211486"/>
    <n v="269855"/>
    <n v="15840"/>
    <n v="12068"/>
    <n v="0"/>
    <n v="35"/>
    <n v="2698.55"/>
    <n v="2000"/>
    <n v="267156"/>
    <n v="6000"/>
    <m/>
    <n v="269855"/>
    <n v="40478"/>
    <x v="1"/>
    <x v="0"/>
    <x v="4"/>
    <x v="1"/>
  </r>
  <r>
    <x v="11"/>
    <s v="S12_2019_10"/>
    <x v="0"/>
    <s v="Transversal"/>
    <x v="11"/>
    <s v="Benedictine"/>
    <x v="9"/>
    <x v="4"/>
    <x v="3"/>
    <d v="2019-07-25T00:00:00"/>
    <n v="60000"/>
    <n v="62626"/>
    <n v="62626"/>
    <n v="0"/>
    <n v="0"/>
    <n v="0"/>
    <n v="0"/>
    <n v="626.26"/>
    <n v="2000"/>
    <n v="62000"/>
    <n v="6000"/>
    <m/>
    <n v="62626"/>
    <n v="9394"/>
    <x v="1"/>
    <x v="0"/>
    <x v="5"/>
    <x v="1"/>
  </r>
  <r>
    <x v="12"/>
    <s v="S13_2019_10"/>
    <x v="1"/>
    <s v="Transversal"/>
    <x v="12"/>
    <s v="Herizo"/>
    <x v="10"/>
    <x v="4"/>
    <x v="3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1"/>
  </r>
  <r>
    <x v="13"/>
    <s v="S14_2019_10"/>
    <x v="0"/>
    <s v="Transversal"/>
    <x v="13"/>
    <s v="Rene"/>
    <x v="8"/>
    <x v="4"/>
    <x v="3"/>
    <d v="2019-10-25T00:00:00"/>
    <n v="253100"/>
    <n v="211486"/>
    <n v="257671"/>
    <n v="15840"/>
    <n v="12068"/>
    <n v="0"/>
    <n v="21"/>
    <n v="2576.71"/>
    <n v="2000"/>
    <n v="255094"/>
    <n v="6000"/>
    <m/>
    <n v="257671"/>
    <n v="38651"/>
    <x v="1"/>
    <x v="0"/>
    <x v="4"/>
    <x v="1"/>
  </r>
  <r>
    <x v="14"/>
    <s v="S15_2019_10"/>
    <x v="2"/>
    <s v="Transversal"/>
    <x v="14"/>
    <s v="Chrisos"/>
    <x v="11"/>
    <x v="4"/>
    <x v="3"/>
    <d v="2019-07-25T00:00:00"/>
    <n v="800000"/>
    <n v="921717"/>
    <n v="921717"/>
    <n v="0"/>
    <n v="0"/>
    <n v="0"/>
    <n v="0"/>
    <n v="9217.17"/>
    <n v="112500"/>
    <n v="912500"/>
    <n v="0"/>
    <m/>
    <n v="921717"/>
    <n v="138258"/>
    <x v="1"/>
    <x v="5"/>
    <x v="0"/>
    <x v="1"/>
  </r>
  <r>
    <x v="15"/>
    <s v="S16_2019_10"/>
    <x v="0"/>
    <s v="Maintenance"/>
    <x v="15"/>
    <s v="Victorien"/>
    <x v="7"/>
    <x v="4"/>
    <x v="3"/>
    <d v="2019-07-25T00:00:00"/>
    <n v="370000"/>
    <n v="376263"/>
    <n v="376263"/>
    <n v="0"/>
    <n v="0"/>
    <n v="0"/>
    <n v="0"/>
    <n v="3762.63"/>
    <n v="2500"/>
    <n v="372500"/>
    <n v="2000"/>
    <m/>
    <n v="376263"/>
    <n v="56439"/>
    <x v="1"/>
    <x v="0"/>
    <x v="3"/>
    <x v="1"/>
  </r>
  <r>
    <x v="16"/>
    <s v="S17_2019_10"/>
    <x v="0"/>
    <s v="Transversal"/>
    <x v="16"/>
    <s v="Velonasy"/>
    <x v="8"/>
    <x v="4"/>
    <x v="3"/>
    <d v="2019-07-25T00:00:00"/>
    <n v="235000"/>
    <n v="211486"/>
    <n v="239394"/>
    <n v="15840"/>
    <n v="12068"/>
    <n v="0"/>
    <n v="0"/>
    <n v="2393.94"/>
    <n v="2000"/>
    <n v="237000"/>
    <n v="6000"/>
    <m/>
    <n v="239394"/>
    <n v="35909"/>
    <x v="1"/>
    <x v="0"/>
    <x v="4"/>
    <x v="1"/>
  </r>
  <r>
    <x v="17"/>
    <s v="S18_2019_10"/>
    <x v="0"/>
    <s v="Construction"/>
    <x v="17"/>
    <s v="Bienvenu"/>
    <x v="5"/>
    <x v="4"/>
    <x v="3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1"/>
  </r>
  <r>
    <x v="0"/>
    <s v="S01_2019_11"/>
    <x v="0"/>
    <s v="Maintenance"/>
    <x v="0"/>
    <s v="Gaetan"/>
    <x v="0"/>
    <x v="5"/>
    <x v="4"/>
    <d v="2019-06-24T00:00:00"/>
    <n v="910000"/>
    <n v="1053030"/>
    <n v="1053030"/>
    <n v="0"/>
    <n v="0"/>
    <n v="0"/>
    <n v="0"/>
    <n v="10530.3"/>
    <n v="132500"/>
    <n v="1042500"/>
    <n v="6000"/>
    <m/>
    <n v="1053030"/>
    <n v="157955"/>
    <x v="0"/>
    <x v="0"/>
    <x v="0"/>
    <x v="1"/>
  </r>
  <r>
    <x v="1"/>
    <s v="S02_2019_11"/>
    <x v="0"/>
    <s v="Maintenance"/>
    <x v="1"/>
    <s v="Luo"/>
    <x v="1"/>
    <x v="5"/>
    <x v="4"/>
    <d v="2019-06-24T00:00:00"/>
    <n v="335000"/>
    <n v="340404"/>
    <n v="340404"/>
    <n v="0"/>
    <n v="0"/>
    <n v="0"/>
    <n v="0"/>
    <n v="3404.04"/>
    <n v="2000"/>
    <n v="337000"/>
    <n v="0"/>
    <m/>
    <n v="340404"/>
    <n v="51061"/>
    <x v="0"/>
    <x v="1"/>
    <x v="1"/>
    <x v="1"/>
  </r>
  <r>
    <x v="2"/>
    <s v="S03_2019_11"/>
    <x v="0"/>
    <s v="Maintenance"/>
    <x v="2"/>
    <s v="Tsilavina"/>
    <x v="1"/>
    <x v="5"/>
    <x v="4"/>
    <d v="2019-06-24T00:00:00"/>
    <n v="323000"/>
    <n v="328283"/>
    <n v="328283"/>
    <n v="0"/>
    <n v="0"/>
    <n v="0"/>
    <n v="0"/>
    <n v="3282.83"/>
    <n v="2000"/>
    <n v="325000"/>
    <n v="0"/>
    <m/>
    <n v="328283"/>
    <n v="49242"/>
    <x v="0"/>
    <x v="2"/>
    <x v="1"/>
    <x v="1"/>
  </r>
  <r>
    <x v="3"/>
    <s v="S04_2019_11"/>
    <x v="0"/>
    <s v="Transversal"/>
    <x v="3"/>
    <s v="Antoine"/>
    <x v="2"/>
    <x v="5"/>
    <x v="4"/>
    <d v="2019-07-25T00:00:00"/>
    <n v="590000"/>
    <n v="648990"/>
    <n v="648990"/>
    <n v="0"/>
    <n v="0"/>
    <n v="0"/>
    <n v="0"/>
    <n v="6489.9"/>
    <n v="52500"/>
    <n v="642500"/>
    <n v="6000"/>
    <m/>
    <n v="648990"/>
    <n v="97349"/>
    <x v="1"/>
    <x v="3"/>
    <x v="1"/>
    <x v="1"/>
  </r>
  <r>
    <x v="4"/>
    <s v="S05_2019_11"/>
    <x v="0"/>
    <s v="Transversal"/>
    <x v="4"/>
    <s v="Florentin"/>
    <x v="3"/>
    <x v="5"/>
    <x v="4"/>
    <d v="2019-07-25T00:00:00"/>
    <n v="420000"/>
    <n v="436869"/>
    <n v="436869"/>
    <n v="0"/>
    <n v="0"/>
    <n v="0"/>
    <n v="0"/>
    <n v="4368.6899999999996"/>
    <n v="12500"/>
    <n v="432500"/>
    <n v="4000"/>
    <m/>
    <n v="436869"/>
    <n v="65530"/>
    <x v="1"/>
    <x v="0"/>
    <x v="1"/>
    <x v="1"/>
  </r>
  <r>
    <x v="5"/>
    <s v="S06_2019_11"/>
    <x v="1"/>
    <s v="Transversal"/>
    <x v="5"/>
    <s v="Michel"/>
    <x v="4"/>
    <x v="5"/>
    <x v="4"/>
    <d v="2019-07-25T00:00:00"/>
    <n v="460000"/>
    <n v="484848"/>
    <n v="484848"/>
    <n v="0"/>
    <n v="0"/>
    <n v="0"/>
    <n v="0"/>
    <n v="4848.4799999999996"/>
    <n v="20000"/>
    <n v="480000"/>
    <n v="6000"/>
    <m/>
    <n v="484848"/>
    <n v="72727"/>
    <x v="1"/>
    <x v="1"/>
    <x v="2"/>
    <x v="1"/>
  </r>
  <r>
    <x v="7"/>
    <s v="S08_2019_11"/>
    <x v="0"/>
    <s v="Transversal"/>
    <x v="7"/>
    <s v="Onja"/>
    <x v="6"/>
    <x v="5"/>
    <x v="4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1"/>
  </r>
  <r>
    <x v="8"/>
    <s v="S09_2019_11"/>
    <x v="2"/>
    <s v="Maintenance"/>
    <x v="8"/>
    <s v="Rinon"/>
    <x v="1"/>
    <x v="5"/>
    <x v="4"/>
    <d v="2019-07-25T00:00:00"/>
    <n v="310000"/>
    <n v="315152"/>
    <n v="315152"/>
    <n v="0"/>
    <n v="0"/>
    <n v="0"/>
    <n v="0"/>
    <n v="3151.52"/>
    <n v="2000"/>
    <n v="312000"/>
    <n v="2000"/>
    <m/>
    <n v="315152"/>
    <n v="47273"/>
    <x v="1"/>
    <x v="1"/>
    <x v="1"/>
    <x v="1"/>
  </r>
  <r>
    <x v="9"/>
    <s v="S10_2019_11"/>
    <x v="2"/>
    <s v="Maintenance"/>
    <x v="9"/>
    <s v="Alain"/>
    <x v="7"/>
    <x v="5"/>
    <x v="4"/>
    <d v="2019-07-25T00:00:00"/>
    <n v="320000"/>
    <n v="325253"/>
    <n v="325253"/>
    <n v="0"/>
    <n v="0"/>
    <n v="0"/>
    <n v="0"/>
    <n v="3252.53"/>
    <n v="2000"/>
    <n v="322000"/>
    <n v="2000"/>
    <m/>
    <n v="325253"/>
    <n v="48788"/>
    <x v="1"/>
    <x v="0"/>
    <x v="3"/>
    <x v="1"/>
  </r>
  <r>
    <x v="10"/>
    <s v="S11_2019_11"/>
    <x v="0"/>
    <s v="Transversal"/>
    <x v="10"/>
    <s v="Raoul"/>
    <x v="8"/>
    <x v="5"/>
    <x v="4"/>
    <d v="2019-07-25T00:00:00"/>
    <n v="244500"/>
    <n v="211486"/>
    <n v="248967"/>
    <n v="15840"/>
    <n v="12068"/>
    <n v="0"/>
    <n v="11"/>
    <n v="2489.67"/>
    <n v="2000"/>
    <n v="246477"/>
    <n v="6000"/>
    <m/>
    <n v="248967"/>
    <n v="37345"/>
    <x v="1"/>
    <x v="0"/>
    <x v="4"/>
    <x v="1"/>
  </r>
  <r>
    <x v="11"/>
    <s v="S12_2019_11"/>
    <x v="0"/>
    <s v="Transversal"/>
    <x v="11"/>
    <s v="Benedictine"/>
    <x v="9"/>
    <x v="5"/>
    <x v="4"/>
    <d v="2019-07-25T00:00:00"/>
    <n v="60000"/>
    <n v="62626"/>
    <n v="62626"/>
    <n v="0"/>
    <n v="0"/>
    <n v="0"/>
    <n v="0"/>
    <n v="626.26"/>
    <n v="2000"/>
    <n v="62000"/>
    <n v="6000"/>
    <m/>
    <n v="62626"/>
    <n v="9394"/>
    <x v="1"/>
    <x v="0"/>
    <x v="5"/>
    <x v="1"/>
  </r>
  <r>
    <x v="12"/>
    <s v="S13_2019_11"/>
    <x v="1"/>
    <s v="Transversal"/>
    <x v="12"/>
    <s v="Herizo"/>
    <x v="10"/>
    <x v="5"/>
    <x v="4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1"/>
  </r>
  <r>
    <x v="13"/>
    <s v="S14_2019_11"/>
    <x v="0"/>
    <s v="Transversal"/>
    <x v="13"/>
    <s v="Rene"/>
    <x v="8"/>
    <x v="5"/>
    <x v="4"/>
    <d v="2019-09-26T00:00:00"/>
    <n v="235000"/>
    <n v="211486"/>
    <n v="239394"/>
    <n v="15840"/>
    <n v="12068"/>
    <n v="0"/>
    <n v="0"/>
    <n v="2393.94"/>
    <n v="2000"/>
    <n v="237000"/>
    <n v="6000"/>
    <m/>
    <n v="239394"/>
    <n v="35909"/>
    <x v="1"/>
    <x v="0"/>
    <x v="4"/>
    <x v="1"/>
  </r>
  <r>
    <x v="14"/>
    <s v="S15_2019_11"/>
    <x v="2"/>
    <s v="Transversal"/>
    <x v="14"/>
    <s v="Chrisos"/>
    <x v="11"/>
    <x v="5"/>
    <x v="4"/>
    <d v="2019-07-25T00:00:00"/>
    <n v="800000"/>
    <n v="921717"/>
    <n v="921717"/>
    <n v="0"/>
    <n v="0"/>
    <n v="0"/>
    <n v="0"/>
    <n v="9217.17"/>
    <n v="112500"/>
    <n v="912500"/>
    <n v="0"/>
    <m/>
    <n v="921717"/>
    <n v="138258"/>
    <x v="1"/>
    <x v="5"/>
    <x v="0"/>
    <x v="1"/>
  </r>
  <r>
    <x v="15"/>
    <s v="S16_2019_11"/>
    <x v="0"/>
    <s v="Maintenance"/>
    <x v="15"/>
    <s v="Victorien"/>
    <x v="7"/>
    <x v="5"/>
    <x v="4"/>
    <d v="2019-07-25T00:00:00"/>
    <n v="370000"/>
    <n v="376263"/>
    <n v="376263"/>
    <n v="0"/>
    <n v="0"/>
    <n v="0"/>
    <n v="0"/>
    <n v="3762.63"/>
    <n v="2500"/>
    <n v="372500"/>
    <n v="2000"/>
    <m/>
    <n v="376263"/>
    <n v="56439"/>
    <x v="1"/>
    <x v="0"/>
    <x v="3"/>
    <x v="1"/>
  </r>
  <r>
    <x v="16"/>
    <s v="S17_2019_11"/>
    <x v="0"/>
    <s v="Transversal"/>
    <x v="16"/>
    <s v="Velonasy"/>
    <x v="8"/>
    <x v="5"/>
    <x v="4"/>
    <d v="2019-11-28T00:00:00"/>
    <n v="257500"/>
    <n v="211486"/>
    <n v="262023"/>
    <n v="15840"/>
    <n v="12068"/>
    <n v="1"/>
    <n v="21"/>
    <n v="2620.23"/>
    <n v="2000"/>
    <n v="259403"/>
    <n v="6000"/>
    <m/>
    <n v="262023"/>
    <n v="39303"/>
    <x v="1"/>
    <x v="0"/>
    <x v="4"/>
    <x v="1"/>
  </r>
  <r>
    <x v="17"/>
    <s v="S18_2019_11"/>
    <x v="0"/>
    <s v="Construction"/>
    <x v="17"/>
    <s v="Bienvenu"/>
    <x v="5"/>
    <x v="5"/>
    <x v="4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1"/>
  </r>
  <r>
    <x v="0"/>
    <s v="S01_2019_12"/>
    <x v="0"/>
    <s v="Maintenance"/>
    <x v="0"/>
    <s v="Gaetan"/>
    <x v="0"/>
    <x v="6"/>
    <x v="5"/>
    <d v="2019-06-24T00:00:00"/>
    <n v="910000"/>
    <n v="1053030"/>
    <n v="1053030"/>
    <n v="0"/>
    <n v="0"/>
    <n v="0"/>
    <n v="0"/>
    <n v="10530.3"/>
    <n v="132500"/>
    <n v="1042500"/>
    <n v="6000"/>
    <m/>
    <n v="1053030"/>
    <n v="157955"/>
    <x v="0"/>
    <x v="0"/>
    <x v="0"/>
    <x v="1"/>
  </r>
  <r>
    <x v="1"/>
    <s v="S02_2019_12"/>
    <x v="0"/>
    <s v="Maintenance"/>
    <x v="1"/>
    <s v="Luo"/>
    <x v="1"/>
    <x v="6"/>
    <x v="5"/>
    <d v="2019-06-24T00:00:00"/>
    <n v="335000"/>
    <n v="340404"/>
    <n v="340404"/>
    <n v="0"/>
    <n v="0"/>
    <n v="0"/>
    <n v="0"/>
    <n v="3404.04"/>
    <n v="2000"/>
    <n v="337000"/>
    <n v="0"/>
    <m/>
    <n v="340404"/>
    <n v="51061"/>
    <x v="0"/>
    <x v="1"/>
    <x v="1"/>
    <x v="1"/>
  </r>
  <r>
    <x v="2"/>
    <s v="S03_2019_12"/>
    <x v="0"/>
    <s v="Maintenance"/>
    <x v="2"/>
    <s v="Tsilavina"/>
    <x v="1"/>
    <x v="6"/>
    <x v="5"/>
    <d v="2019-06-24T00:00:00"/>
    <n v="323000"/>
    <n v="328283"/>
    <n v="328283"/>
    <n v="0"/>
    <n v="0"/>
    <n v="0"/>
    <n v="0"/>
    <n v="3282.83"/>
    <n v="2000"/>
    <n v="325000"/>
    <n v="0"/>
    <m/>
    <n v="328283"/>
    <n v="49242"/>
    <x v="0"/>
    <x v="2"/>
    <x v="1"/>
    <x v="1"/>
  </r>
  <r>
    <x v="3"/>
    <s v="S04_2019_12"/>
    <x v="0"/>
    <s v="Transversal"/>
    <x v="3"/>
    <s v="Antoine"/>
    <x v="2"/>
    <x v="6"/>
    <x v="5"/>
    <d v="2019-07-25T00:00:00"/>
    <n v="590000"/>
    <n v="648990"/>
    <n v="648990"/>
    <n v="0"/>
    <n v="0"/>
    <n v="0"/>
    <n v="0"/>
    <n v="6489.9"/>
    <n v="52500"/>
    <n v="642500"/>
    <n v="6000"/>
    <m/>
    <n v="648990"/>
    <n v="97349"/>
    <x v="1"/>
    <x v="3"/>
    <x v="1"/>
    <x v="1"/>
  </r>
  <r>
    <x v="4"/>
    <s v="S05_2019_12"/>
    <x v="0"/>
    <s v="Transversal"/>
    <x v="4"/>
    <s v="Florentin"/>
    <x v="3"/>
    <x v="6"/>
    <x v="5"/>
    <d v="2019-07-25T00:00:00"/>
    <n v="420000"/>
    <n v="436869"/>
    <n v="436869"/>
    <n v="0"/>
    <n v="0"/>
    <n v="0"/>
    <n v="0"/>
    <n v="4368.6899999999996"/>
    <n v="12500"/>
    <n v="432500"/>
    <n v="4000"/>
    <m/>
    <n v="436869"/>
    <n v="65530"/>
    <x v="1"/>
    <x v="0"/>
    <x v="1"/>
    <x v="1"/>
  </r>
  <r>
    <x v="5"/>
    <s v="S06_2019_12"/>
    <x v="1"/>
    <s v="Transversal"/>
    <x v="5"/>
    <s v="Michel"/>
    <x v="4"/>
    <x v="6"/>
    <x v="5"/>
    <d v="2019-07-25T00:00:00"/>
    <n v="460000"/>
    <n v="484848"/>
    <n v="484848"/>
    <n v="0"/>
    <n v="0"/>
    <n v="0"/>
    <n v="0"/>
    <n v="4848.4799999999996"/>
    <n v="20000"/>
    <n v="480000"/>
    <n v="6000"/>
    <m/>
    <n v="484848"/>
    <n v="72727"/>
    <x v="1"/>
    <x v="1"/>
    <x v="2"/>
    <x v="1"/>
  </r>
  <r>
    <x v="7"/>
    <s v="S08_2019_12"/>
    <x v="0"/>
    <s v="Transversal"/>
    <x v="7"/>
    <s v="Onja"/>
    <x v="6"/>
    <x v="6"/>
    <x v="5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1"/>
  </r>
  <r>
    <x v="8"/>
    <s v="S09_2019_12"/>
    <x v="2"/>
    <s v="Maintenance"/>
    <x v="8"/>
    <s v="Rinon"/>
    <x v="1"/>
    <x v="6"/>
    <x v="5"/>
    <d v="2019-07-25T00:00:00"/>
    <n v="310000"/>
    <n v="315152"/>
    <n v="315152"/>
    <n v="0"/>
    <n v="0"/>
    <n v="0"/>
    <n v="0"/>
    <n v="3151.52"/>
    <n v="2000"/>
    <n v="312000"/>
    <n v="2000"/>
    <m/>
    <n v="315152"/>
    <n v="47273"/>
    <x v="1"/>
    <x v="1"/>
    <x v="1"/>
    <x v="1"/>
  </r>
  <r>
    <x v="9"/>
    <s v="S10_2019_12"/>
    <x v="2"/>
    <s v="Maintenance"/>
    <x v="9"/>
    <s v="Alain"/>
    <x v="7"/>
    <x v="6"/>
    <x v="5"/>
    <d v="2019-07-25T00:00:00"/>
    <n v="320000"/>
    <n v="325253"/>
    <n v="325253"/>
    <n v="0"/>
    <n v="0"/>
    <n v="0"/>
    <n v="0"/>
    <n v="3252.53"/>
    <n v="2000"/>
    <n v="322000"/>
    <n v="2000"/>
    <m/>
    <n v="325253"/>
    <n v="48788"/>
    <x v="1"/>
    <x v="0"/>
    <x v="3"/>
    <x v="1"/>
  </r>
  <r>
    <x v="10"/>
    <s v="S11_2019_12"/>
    <x v="0"/>
    <s v="Transversal"/>
    <x v="10"/>
    <s v="Raoul"/>
    <x v="8"/>
    <x v="6"/>
    <x v="5"/>
    <d v="2019-07-25T00:00:00"/>
    <n v="244500"/>
    <n v="211486"/>
    <n v="248967"/>
    <n v="15840"/>
    <n v="12068"/>
    <n v="0"/>
    <n v="11"/>
    <n v="2489.67"/>
    <n v="2000"/>
    <n v="246477"/>
    <n v="6000"/>
    <m/>
    <n v="248967"/>
    <n v="37345"/>
    <x v="1"/>
    <x v="0"/>
    <x v="4"/>
    <x v="1"/>
  </r>
  <r>
    <x v="11"/>
    <s v="S12_2019_12"/>
    <x v="0"/>
    <s v="Transversal"/>
    <x v="11"/>
    <s v="Benedictine"/>
    <x v="9"/>
    <x v="6"/>
    <x v="5"/>
    <d v="2019-07-25T00:00:00"/>
    <n v="60000"/>
    <n v="62626"/>
    <n v="62626"/>
    <n v="0"/>
    <n v="0"/>
    <n v="0"/>
    <n v="0"/>
    <n v="626.26"/>
    <n v="2000"/>
    <n v="62000"/>
    <n v="6000"/>
    <m/>
    <n v="62626"/>
    <n v="9394"/>
    <x v="1"/>
    <x v="0"/>
    <x v="5"/>
    <x v="1"/>
  </r>
  <r>
    <x v="12"/>
    <s v="S13_2019_12"/>
    <x v="1"/>
    <s v="Transversal"/>
    <x v="12"/>
    <s v="Herizo"/>
    <x v="10"/>
    <x v="6"/>
    <x v="5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1"/>
  </r>
  <r>
    <x v="13"/>
    <s v="S14_2019_12"/>
    <x v="0"/>
    <s v="Transversal"/>
    <x v="13"/>
    <s v="Rene"/>
    <x v="8"/>
    <x v="6"/>
    <x v="5"/>
    <d v="2019-12-20T00:00:00"/>
    <n v="266100"/>
    <n v="211486"/>
    <n v="270726"/>
    <n v="15840"/>
    <n v="12068"/>
    <n v="1"/>
    <n v="31"/>
    <n v="2707.26"/>
    <n v="2000"/>
    <n v="268019"/>
    <n v="6000"/>
    <m/>
    <n v="270726"/>
    <n v="40609"/>
    <x v="1"/>
    <x v="0"/>
    <x v="4"/>
    <x v="1"/>
  </r>
  <r>
    <x v="14"/>
    <s v="S15_2019_12"/>
    <x v="2"/>
    <s v="Transversal"/>
    <x v="14"/>
    <s v="Chrisos"/>
    <x v="11"/>
    <x v="6"/>
    <x v="5"/>
    <d v="2019-07-25T00:00:00"/>
    <n v="800000"/>
    <n v="921717"/>
    <n v="921717"/>
    <n v="0"/>
    <n v="0"/>
    <n v="0"/>
    <n v="0"/>
    <n v="9217.17"/>
    <n v="112500"/>
    <n v="912500"/>
    <n v="0"/>
    <m/>
    <n v="921717"/>
    <n v="138258"/>
    <x v="1"/>
    <x v="5"/>
    <x v="0"/>
    <x v="1"/>
  </r>
  <r>
    <x v="15"/>
    <s v="S16_2019_12"/>
    <x v="0"/>
    <s v="Maintenance"/>
    <x v="15"/>
    <s v="Victorien"/>
    <x v="7"/>
    <x v="6"/>
    <x v="5"/>
    <d v="2019-07-25T00:00:00"/>
    <n v="370000"/>
    <n v="376263"/>
    <n v="376263"/>
    <n v="0"/>
    <n v="0"/>
    <n v="0"/>
    <n v="0"/>
    <n v="3762.63"/>
    <n v="2500"/>
    <n v="372500"/>
    <n v="2000"/>
    <m/>
    <n v="376263"/>
    <n v="56439"/>
    <x v="1"/>
    <x v="0"/>
    <x v="3"/>
    <x v="1"/>
  </r>
  <r>
    <x v="16"/>
    <s v="S17_2019_12"/>
    <x v="0"/>
    <s v="Transversal"/>
    <x v="16"/>
    <s v="Velonasy"/>
    <x v="8"/>
    <x v="6"/>
    <x v="5"/>
    <d v="2019-07-25T00:00:00"/>
    <n v="235000"/>
    <n v="211486"/>
    <n v="239394"/>
    <n v="15840"/>
    <n v="12068"/>
    <n v="0"/>
    <n v="0"/>
    <n v="2393.94"/>
    <n v="2000"/>
    <n v="237000"/>
    <n v="6000"/>
    <m/>
    <n v="239394"/>
    <n v="35909"/>
    <x v="1"/>
    <x v="0"/>
    <x v="4"/>
    <x v="1"/>
  </r>
  <r>
    <x v="17"/>
    <s v="S18_2019_12"/>
    <x v="0"/>
    <s v="Construction"/>
    <x v="17"/>
    <s v="Bienvenu"/>
    <x v="5"/>
    <x v="6"/>
    <x v="5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1"/>
  </r>
  <r>
    <x v="0"/>
    <s v="S01_2020_1"/>
    <x v="0"/>
    <s v="Maintenance"/>
    <x v="0"/>
    <s v="Gaetan"/>
    <x v="0"/>
    <x v="7"/>
    <x v="6"/>
    <d v="2019-06-24T00:00:00"/>
    <n v="910000"/>
    <n v="1053030"/>
    <n v="1053030"/>
    <n v="0"/>
    <n v="0"/>
    <n v="0"/>
    <n v="0"/>
    <n v="10530.3"/>
    <n v="132500"/>
    <n v="1042500"/>
    <n v="6000"/>
    <m/>
    <n v="1053030"/>
    <n v="157955"/>
    <x v="0"/>
    <x v="0"/>
    <x v="0"/>
    <x v="2"/>
  </r>
  <r>
    <x v="1"/>
    <s v="S02_2020_1"/>
    <x v="0"/>
    <s v="Maintenance"/>
    <x v="1"/>
    <s v="Luo"/>
    <x v="1"/>
    <x v="7"/>
    <x v="6"/>
    <d v="2019-06-24T00:00:00"/>
    <n v="335000"/>
    <n v="340404"/>
    <n v="340404"/>
    <n v="0"/>
    <n v="0"/>
    <n v="0"/>
    <n v="0"/>
    <n v="3404.04"/>
    <n v="2000"/>
    <n v="337000"/>
    <n v="0"/>
    <m/>
    <n v="340404"/>
    <n v="51061"/>
    <x v="0"/>
    <x v="1"/>
    <x v="1"/>
    <x v="2"/>
  </r>
  <r>
    <x v="2"/>
    <s v="S03_2020_1"/>
    <x v="0"/>
    <s v="Maintenance"/>
    <x v="2"/>
    <s v="Tsilavina"/>
    <x v="1"/>
    <x v="7"/>
    <x v="6"/>
    <d v="2019-06-24T00:00:00"/>
    <n v="323000"/>
    <n v="328283"/>
    <n v="328283"/>
    <n v="0"/>
    <n v="0"/>
    <n v="0"/>
    <n v="0"/>
    <n v="3282.83"/>
    <n v="2000"/>
    <n v="325000"/>
    <n v="0"/>
    <m/>
    <n v="328283"/>
    <n v="49242"/>
    <x v="0"/>
    <x v="2"/>
    <x v="1"/>
    <x v="2"/>
  </r>
  <r>
    <x v="3"/>
    <s v="S04_2020_1"/>
    <x v="0"/>
    <s v="Transversal"/>
    <x v="3"/>
    <s v="Antoine"/>
    <x v="2"/>
    <x v="7"/>
    <x v="6"/>
    <d v="2019-07-25T00:00:00"/>
    <n v="590000"/>
    <n v="648990"/>
    <n v="648990"/>
    <n v="0"/>
    <n v="0"/>
    <n v="0"/>
    <n v="0"/>
    <n v="6489.9"/>
    <n v="52500"/>
    <n v="642500"/>
    <n v="6000"/>
    <m/>
    <n v="648990"/>
    <n v="97349"/>
    <x v="1"/>
    <x v="3"/>
    <x v="1"/>
    <x v="2"/>
  </r>
  <r>
    <x v="4"/>
    <s v="S05_2020_1"/>
    <x v="0"/>
    <s v="Transversal"/>
    <x v="4"/>
    <s v="Florentin"/>
    <x v="3"/>
    <x v="7"/>
    <x v="6"/>
    <d v="2019-07-25T00:00:00"/>
    <n v="420000"/>
    <n v="436869"/>
    <n v="436869"/>
    <n v="0"/>
    <n v="0"/>
    <n v="0"/>
    <n v="0"/>
    <n v="4368.6899999999996"/>
    <n v="12500"/>
    <n v="432500"/>
    <n v="4000"/>
    <m/>
    <n v="436869"/>
    <n v="65530"/>
    <x v="1"/>
    <x v="0"/>
    <x v="1"/>
    <x v="2"/>
  </r>
  <r>
    <x v="5"/>
    <s v="S06_2020_1"/>
    <x v="1"/>
    <s v="Transversal"/>
    <x v="5"/>
    <s v="Michel"/>
    <x v="4"/>
    <x v="7"/>
    <x v="6"/>
    <d v="2019-07-25T00:00:00"/>
    <n v="460000"/>
    <n v="484848"/>
    <n v="484848"/>
    <n v="0"/>
    <n v="0"/>
    <n v="0"/>
    <n v="0"/>
    <n v="4848.4799999999996"/>
    <n v="20000"/>
    <n v="480000"/>
    <n v="6000"/>
    <m/>
    <n v="484848"/>
    <n v="72727"/>
    <x v="1"/>
    <x v="1"/>
    <x v="2"/>
    <x v="2"/>
  </r>
  <r>
    <x v="7"/>
    <s v="S08_2020_1"/>
    <x v="0"/>
    <s v="Transversal"/>
    <x v="7"/>
    <s v="Onja"/>
    <x v="6"/>
    <x v="7"/>
    <x v="6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2"/>
  </r>
  <r>
    <x v="8"/>
    <s v="S09_2020_1"/>
    <x v="2"/>
    <s v="Maintenance"/>
    <x v="8"/>
    <s v="Rinon"/>
    <x v="1"/>
    <x v="7"/>
    <x v="6"/>
    <d v="2019-07-25T00:00:00"/>
    <n v="310000"/>
    <n v="315152"/>
    <n v="315152"/>
    <n v="0"/>
    <n v="0"/>
    <n v="0"/>
    <n v="0"/>
    <n v="3151.52"/>
    <n v="2000"/>
    <n v="312000"/>
    <n v="2000"/>
    <m/>
    <n v="315152"/>
    <n v="47273"/>
    <x v="1"/>
    <x v="1"/>
    <x v="1"/>
    <x v="2"/>
  </r>
  <r>
    <x v="9"/>
    <s v="S10_2020_1"/>
    <x v="2"/>
    <s v="Maintenance"/>
    <x v="9"/>
    <s v="Alain"/>
    <x v="7"/>
    <x v="7"/>
    <x v="6"/>
    <d v="2019-07-25T00:00:00"/>
    <n v="320000"/>
    <n v="325253"/>
    <n v="325253"/>
    <n v="0"/>
    <n v="0"/>
    <n v="0"/>
    <n v="0"/>
    <n v="3252.53"/>
    <n v="2000"/>
    <n v="322000"/>
    <n v="2000"/>
    <m/>
    <n v="325253"/>
    <n v="48788"/>
    <x v="1"/>
    <x v="0"/>
    <x v="3"/>
    <x v="2"/>
  </r>
  <r>
    <x v="10"/>
    <s v="S11_2020_1"/>
    <x v="0"/>
    <s v="Transversal"/>
    <x v="10"/>
    <s v="Raoul"/>
    <x v="8"/>
    <x v="7"/>
    <x v="6"/>
    <d v="2020-01-25T00:00:00"/>
    <n v="239309"/>
    <n v="211486"/>
    <n v="243746"/>
    <n v="15840"/>
    <n v="12068"/>
    <n v="1"/>
    <n v="0"/>
    <n v="2437.46"/>
    <n v="2000"/>
    <n v="241309"/>
    <n v="6000"/>
    <m/>
    <n v="243746"/>
    <n v="36562"/>
    <x v="1"/>
    <x v="0"/>
    <x v="4"/>
    <x v="2"/>
  </r>
  <r>
    <x v="11"/>
    <s v="S12_2020_1"/>
    <x v="0"/>
    <s v="Transversal"/>
    <x v="11"/>
    <s v="Benedictine"/>
    <x v="9"/>
    <x v="7"/>
    <x v="6"/>
    <d v="2019-07-25T00:00:00"/>
    <n v="60000"/>
    <n v="62626"/>
    <n v="62626"/>
    <n v="0"/>
    <n v="0"/>
    <n v="0"/>
    <n v="0"/>
    <n v="626.26"/>
    <n v="2000"/>
    <n v="62000"/>
    <n v="6000"/>
    <m/>
    <n v="62626"/>
    <n v="9394"/>
    <x v="1"/>
    <x v="0"/>
    <x v="5"/>
    <x v="2"/>
  </r>
  <r>
    <x v="12"/>
    <s v="S13_2020_1"/>
    <x v="1"/>
    <s v="Transversal"/>
    <x v="12"/>
    <s v="Herizo"/>
    <x v="10"/>
    <x v="7"/>
    <x v="6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2"/>
  </r>
  <r>
    <x v="13"/>
    <s v="S14_2020_1"/>
    <x v="0"/>
    <s v="Transversal"/>
    <x v="13"/>
    <s v="Rene"/>
    <x v="8"/>
    <x v="7"/>
    <x v="6"/>
    <d v="2020-01-25T00:00:00"/>
    <n v="273800"/>
    <n v="211486"/>
    <n v="278558"/>
    <n v="15840"/>
    <n v="12068"/>
    <n v="0"/>
    <n v="45"/>
    <n v="2785.58"/>
    <n v="2000"/>
    <n v="275772"/>
    <n v="6000"/>
    <m/>
    <n v="278558"/>
    <n v="41784"/>
    <x v="1"/>
    <x v="0"/>
    <x v="4"/>
    <x v="2"/>
  </r>
  <r>
    <x v="14"/>
    <s v="S15_2020_1"/>
    <x v="2"/>
    <s v="Transversal"/>
    <x v="14"/>
    <s v="Chrisos"/>
    <x v="11"/>
    <x v="7"/>
    <x v="6"/>
    <d v="2019-07-25T00:00:00"/>
    <n v="800000"/>
    <n v="921717"/>
    <n v="921717"/>
    <n v="0"/>
    <n v="0"/>
    <n v="0"/>
    <n v="0"/>
    <n v="9217.17"/>
    <n v="112500"/>
    <n v="912500"/>
    <n v="0"/>
    <m/>
    <n v="921717"/>
    <n v="138258"/>
    <x v="1"/>
    <x v="5"/>
    <x v="0"/>
    <x v="2"/>
  </r>
  <r>
    <x v="15"/>
    <s v="S16_2020_1"/>
    <x v="0"/>
    <s v="Maintenance"/>
    <x v="15"/>
    <s v="Victorien"/>
    <x v="7"/>
    <x v="7"/>
    <x v="6"/>
    <d v="2019-07-25T00:00:00"/>
    <n v="370000"/>
    <n v="376263"/>
    <n v="376263"/>
    <n v="0"/>
    <n v="0"/>
    <n v="0"/>
    <n v="0"/>
    <n v="3762.63"/>
    <n v="2500"/>
    <n v="372500"/>
    <n v="2000"/>
    <m/>
    <n v="376263"/>
    <n v="56439"/>
    <x v="1"/>
    <x v="0"/>
    <x v="3"/>
    <x v="2"/>
  </r>
  <r>
    <x v="16"/>
    <s v="S17_2020_1"/>
    <x v="0"/>
    <s v="Transversal"/>
    <x v="16"/>
    <s v="Velonasy"/>
    <x v="8"/>
    <x v="7"/>
    <x v="6"/>
    <d v="2020-01-25T00:00:00"/>
    <n v="273800"/>
    <n v="211486"/>
    <n v="278558"/>
    <n v="15840"/>
    <n v="12068"/>
    <n v="0"/>
    <n v="45"/>
    <n v="2785.58"/>
    <n v="2000"/>
    <n v="275772"/>
    <n v="6000"/>
    <m/>
    <n v="278558"/>
    <n v="41784"/>
    <x v="1"/>
    <x v="0"/>
    <x v="4"/>
    <x v="2"/>
  </r>
  <r>
    <x v="17"/>
    <s v="S18_2020_1"/>
    <x v="0"/>
    <s v="Construction"/>
    <x v="17"/>
    <s v="Bienvenu"/>
    <x v="5"/>
    <x v="7"/>
    <x v="6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2"/>
  </r>
  <r>
    <x v="0"/>
    <s v="S01_2020_2"/>
    <x v="0"/>
    <s v="Maintenance"/>
    <x v="0"/>
    <s v="Gaetan"/>
    <x v="0"/>
    <x v="8"/>
    <x v="7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2"/>
  </r>
  <r>
    <x v="1"/>
    <s v="S02_2020_2"/>
    <x v="0"/>
    <s v="Maintenance"/>
    <x v="1"/>
    <s v="Luo"/>
    <x v="1"/>
    <x v="8"/>
    <x v="7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2"/>
  </r>
  <r>
    <x v="2"/>
    <s v="S03_2020_2"/>
    <x v="0"/>
    <s v="Maintenance"/>
    <x v="2"/>
    <s v="Tsilavina"/>
    <x v="1"/>
    <x v="8"/>
    <x v="7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2"/>
  </r>
  <r>
    <x v="3"/>
    <s v="S04_2020_2"/>
    <x v="0"/>
    <s v="Transversal"/>
    <x v="3"/>
    <s v="Antoine"/>
    <x v="2"/>
    <x v="8"/>
    <x v="7"/>
    <d v="2020-02-20T00:00:00"/>
    <n v="620000"/>
    <n v="686869"/>
    <n v="686869"/>
    <n v="0"/>
    <n v="0"/>
    <n v="0"/>
    <n v="0"/>
    <n v="6868.69"/>
    <n v="60000"/>
    <n v="680000"/>
    <n v="6000"/>
    <m/>
    <n v="686869"/>
    <n v="103030"/>
    <x v="1"/>
    <x v="3"/>
    <x v="1"/>
    <x v="2"/>
  </r>
  <r>
    <x v="4"/>
    <s v="S05_2020_2"/>
    <x v="0"/>
    <s v="Transversal"/>
    <x v="4"/>
    <s v="Florentin"/>
    <x v="3"/>
    <x v="8"/>
    <x v="7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2"/>
  </r>
  <r>
    <x v="5"/>
    <s v="S06_2020_2"/>
    <x v="1"/>
    <s v="Transversal"/>
    <x v="5"/>
    <s v="Michel"/>
    <x v="4"/>
    <x v="8"/>
    <x v="7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2"/>
  </r>
  <r>
    <x v="7"/>
    <s v="S08_2020_2"/>
    <x v="0"/>
    <s v="Transversal"/>
    <x v="7"/>
    <s v="Onja"/>
    <x v="6"/>
    <x v="8"/>
    <x v="7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2"/>
  </r>
  <r>
    <x v="8"/>
    <s v="S09_2020_2"/>
    <x v="2"/>
    <s v="Maintenance"/>
    <x v="8"/>
    <s v="Rinon"/>
    <x v="1"/>
    <x v="8"/>
    <x v="7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2"/>
  </r>
  <r>
    <x v="9"/>
    <s v="S10_2020_2"/>
    <x v="2"/>
    <s v="Maintenance"/>
    <x v="9"/>
    <s v="Alain"/>
    <x v="7"/>
    <x v="8"/>
    <x v="7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2"/>
  </r>
  <r>
    <x v="10"/>
    <s v="S11_2020_2"/>
    <x v="0"/>
    <s v="Transversal"/>
    <x v="10"/>
    <s v="Raoul"/>
    <x v="8"/>
    <x v="8"/>
    <x v="7"/>
    <d v="2020-02-20T00:00:00"/>
    <n v="266700"/>
    <n v="233794"/>
    <n v="271381"/>
    <n v="17511"/>
    <n v="13341"/>
    <n v="0"/>
    <n v="7"/>
    <n v="2713.81"/>
    <n v="2000"/>
    <n v="268667"/>
    <n v="6000"/>
    <m/>
    <n v="271381"/>
    <n v="40707"/>
    <x v="1"/>
    <x v="0"/>
    <x v="4"/>
    <x v="2"/>
  </r>
  <r>
    <x v="11"/>
    <s v="S12_2020_2"/>
    <x v="0"/>
    <s v="Transversal"/>
    <x v="11"/>
    <s v="Benedictine"/>
    <x v="9"/>
    <x v="8"/>
    <x v="7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2"/>
  </r>
  <r>
    <x v="12"/>
    <s v="S13_2020_2"/>
    <x v="1"/>
    <s v="Transversal"/>
    <x v="12"/>
    <s v="Herizo"/>
    <x v="10"/>
    <x v="8"/>
    <x v="7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2"/>
  </r>
  <r>
    <x v="13"/>
    <s v="S14_2020_2"/>
    <x v="0"/>
    <s v="Transversal"/>
    <x v="13"/>
    <s v="Rene"/>
    <x v="8"/>
    <x v="8"/>
    <x v="7"/>
    <d v="2020-02-20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2"/>
  </r>
  <r>
    <x v="14"/>
    <s v="S15_2020_2"/>
    <x v="2"/>
    <s v="Transversal"/>
    <x v="14"/>
    <s v="Chrisos"/>
    <x v="11"/>
    <x v="8"/>
    <x v="7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2"/>
  </r>
  <r>
    <x v="15"/>
    <s v="S16_2020_2"/>
    <x v="0"/>
    <s v="Maintenance"/>
    <x v="15"/>
    <s v="Victorien"/>
    <x v="7"/>
    <x v="8"/>
    <x v="7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2"/>
  </r>
  <r>
    <x v="16"/>
    <s v="S17_2020_2"/>
    <x v="0"/>
    <s v="Transversal"/>
    <x v="16"/>
    <s v="Velonasy"/>
    <x v="8"/>
    <x v="8"/>
    <x v="7"/>
    <d v="2020-02-20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2"/>
  </r>
  <r>
    <x v="17"/>
    <s v="S18_2020_2"/>
    <x v="0"/>
    <s v="Construction"/>
    <x v="17"/>
    <s v="Bienvenu"/>
    <x v="5"/>
    <x v="8"/>
    <x v="7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2"/>
  </r>
  <r>
    <x v="0"/>
    <s v="S01_2020_3"/>
    <x v="0"/>
    <s v="Maintenance"/>
    <x v="0"/>
    <s v="Gaetan"/>
    <x v="0"/>
    <x v="9"/>
    <x v="8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2"/>
  </r>
  <r>
    <x v="1"/>
    <s v="S02_2020_3"/>
    <x v="0"/>
    <s v="Maintenance"/>
    <x v="1"/>
    <s v="Luo"/>
    <x v="1"/>
    <x v="9"/>
    <x v="8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2"/>
  </r>
  <r>
    <x v="2"/>
    <s v="S03_2020_3"/>
    <x v="0"/>
    <s v="Maintenance"/>
    <x v="2"/>
    <s v="Tsilavina"/>
    <x v="1"/>
    <x v="9"/>
    <x v="8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2"/>
  </r>
  <r>
    <x v="3"/>
    <s v="S04_2020_3"/>
    <x v="0"/>
    <s v="Transversal"/>
    <x v="3"/>
    <s v="Antoine"/>
    <x v="2"/>
    <x v="9"/>
    <x v="8"/>
    <d v="2020-02-20T00:00:00"/>
    <n v="620000"/>
    <n v="686869"/>
    <n v="686869"/>
    <n v="0"/>
    <n v="0"/>
    <n v="0"/>
    <n v="0"/>
    <n v="6868.69"/>
    <n v="60000"/>
    <n v="680000"/>
    <n v="6000"/>
    <m/>
    <n v="686869"/>
    <n v="103030"/>
    <x v="1"/>
    <x v="3"/>
    <x v="1"/>
    <x v="2"/>
  </r>
  <r>
    <x v="4"/>
    <s v="S05_2020_3"/>
    <x v="0"/>
    <s v="Transversal"/>
    <x v="4"/>
    <s v="Florentin"/>
    <x v="3"/>
    <x v="9"/>
    <x v="8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2"/>
  </r>
  <r>
    <x v="5"/>
    <s v="S06_2020_3"/>
    <x v="1"/>
    <s v="Transversal"/>
    <x v="5"/>
    <s v="Michel"/>
    <x v="4"/>
    <x v="9"/>
    <x v="8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2"/>
  </r>
  <r>
    <x v="7"/>
    <s v="S08_2020_3"/>
    <x v="0"/>
    <s v="Transversal"/>
    <x v="7"/>
    <s v="Onja"/>
    <x v="6"/>
    <x v="9"/>
    <x v="8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2"/>
  </r>
  <r>
    <x v="8"/>
    <s v="S09_2020_3"/>
    <x v="2"/>
    <s v="Maintenance"/>
    <x v="8"/>
    <s v="Rinon"/>
    <x v="1"/>
    <x v="9"/>
    <x v="8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2"/>
  </r>
  <r>
    <x v="9"/>
    <s v="S10_2020_3"/>
    <x v="2"/>
    <s v="Maintenance"/>
    <x v="9"/>
    <s v="Alain"/>
    <x v="7"/>
    <x v="9"/>
    <x v="8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2"/>
  </r>
  <r>
    <x v="10"/>
    <s v="S11_2020_3"/>
    <x v="0"/>
    <s v="Transversal"/>
    <x v="10"/>
    <s v="Raoul"/>
    <x v="8"/>
    <x v="9"/>
    <x v="8"/>
    <d v="2020-03-27T00:00:00"/>
    <n v="302900"/>
    <n v="233794"/>
    <n v="307940"/>
    <n v="17510"/>
    <n v="13341"/>
    <n v="0"/>
    <n v="45"/>
    <n v="3079.4"/>
    <n v="2000"/>
    <n v="304861"/>
    <n v="6000"/>
    <m/>
    <n v="307940"/>
    <n v="46191"/>
    <x v="1"/>
    <x v="0"/>
    <x v="4"/>
    <x v="2"/>
  </r>
  <r>
    <x v="11"/>
    <s v="S12_2020_3"/>
    <x v="0"/>
    <s v="Transversal"/>
    <x v="11"/>
    <s v="Benedictine"/>
    <x v="9"/>
    <x v="9"/>
    <x v="8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2"/>
  </r>
  <r>
    <x v="12"/>
    <s v="S13_2020_3"/>
    <x v="1"/>
    <s v="Transversal"/>
    <x v="12"/>
    <s v="Herizo"/>
    <x v="10"/>
    <x v="9"/>
    <x v="8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2"/>
  </r>
  <r>
    <x v="13"/>
    <s v="S14_2020_3"/>
    <x v="0"/>
    <s v="Transversal"/>
    <x v="13"/>
    <s v="Rene"/>
    <x v="8"/>
    <x v="9"/>
    <x v="8"/>
    <d v="2020-03-27T00:00:00"/>
    <n v="302900"/>
    <n v="233794"/>
    <n v="307941"/>
    <n v="17511"/>
    <n v="13341"/>
    <n v="0"/>
    <n v="45"/>
    <n v="3079.41"/>
    <n v="2000"/>
    <n v="304862"/>
    <n v="6000"/>
    <m/>
    <n v="307941"/>
    <n v="46191"/>
    <x v="1"/>
    <x v="0"/>
    <x v="4"/>
    <x v="2"/>
  </r>
  <r>
    <x v="14"/>
    <s v="S15_2020_3"/>
    <x v="2"/>
    <s v="Transversal"/>
    <x v="14"/>
    <s v="Chrisos"/>
    <x v="11"/>
    <x v="9"/>
    <x v="8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2"/>
  </r>
  <r>
    <x v="15"/>
    <s v="S16_2020_3"/>
    <x v="0"/>
    <s v="Maintenance"/>
    <x v="15"/>
    <s v="Victorien"/>
    <x v="7"/>
    <x v="9"/>
    <x v="8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2"/>
  </r>
  <r>
    <x v="16"/>
    <s v="S17_2020_3"/>
    <x v="0"/>
    <s v="Transversal"/>
    <x v="16"/>
    <s v="Velonasy"/>
    <x v="8"/>
    <x v="9"/>
    <x v="8"/>
    <d v="2020-03-27T00:00:00"/>
    <n v="264800"/>
    <n v="233794"/>
    <n v="269457"/>
    <n v="17511"/>
    <n v="13341"/>
    <n v="1"/>
    <n v="0"/>
    <n v="2694.57"/>
    <n v="2000"/>
    <n v="266762"/>
    <n v="6000"/>
    <m/>
    <n v="269457"/>
    <n v="40419"/>
    <x v="1"/>
    <x v="0"/>
    <x v="4"/>
    <x v="2"/>
  </r>
  <r>
    <x v="17"/>
    <s v="S18_2020_3"/>
    <x v="0"/>
    <s v="Construction"/>
    <x v="17"/>
    <s v="Bienvenu"/>
    <x v="5"/>
    <x v="9"/>
    <x v="8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2"/>
  </r>
  <r>
    <x v="18"/>
    <s v="S19_2020_3"/>
    <x v="0"/>
    <s v="Maintenance"/>
    <x v="18"/>
    <s v="Faly"/>
    <x v="7"/>
    <x v="9"/>
    <x v="8"/>
    <d v="2020-03-27T00:00:00"/>
    <n v="367000"/>
    <n v="375000"/>
    <n v="375000"/>
    <n v="0"/>
    <n v="0"/>
    <n v="0"/>
    <n v="0"/>
    <n v="3750"/>
    <n v="4250"/>
    <n v="371250"/>
    <n v="0"/>
    <m/>
    <n v="375000"/>
    <n v="56250"/>
    <x v="4"/>
    <x v="0"/>
    <x v="3"/>
    <x v="2"/>
  </r>
  <r>
    <x v="19"/>
    <s v="S20_2020_3"/>
    <x v="3"/>
    <s v="Maintenance"/>
    <x v="19"/>
    <s v="Manitrasina"/>
    <x v="1"/>
    <x v="10"/>
    <x v="8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2"/>
  </r>
  <r>
    <x v="19"/>
    <s v="S20_2020_2"/>
    <x v="3"/>
    <s v="Maintenance"/>
    <x v="19"/>
    <s v="Manitrasina"/>
    <x v="1"/>
    <x v="11"/>
    <x v="7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2"/>
  </r>
  <r>
    <x v="0"/>
    <s v="S01_2020_4"/>
    <x v="0"/>
    <s v="Maintenance"/>
    <x v="0"/>
    <s v="Gaetan"/>
    <x v="0"/>
    <x v="12"/>
    <x v="9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3"/>
  </r>
  <r>
    <x v="1"/>
    <s v="S02_2020_4"/>
    <x v="0"/>
    <s v="Maintenance"/>
    <x v="1"/>
    <s v="Luo"/>
    <x v="1"/>
    <x v="12"/>
    <x v="9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3"/>
  </r>
  <r>
    <x v="2"/>
    <s v="S03_2020_4"/>
    <x v="0"/>
    <s v="Maintenance"/>
    <x v="2"/>
    <s v="Tsilavina"/>
    <x v="1"/>
    <x v="12"/>
    <x v="9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3"/>
  </r>
  <r>
    <x v="3"/>
    <s v="S04_2020_4"/>
    <x v="0"/>
    <s v="Transversal"/>
    <x v="3"/>
    <s v="Antoine"/>
    <x v="2"/>
    <x v="12"/>
    <x v="9"/>
    <d v="2020-02-20T00:00:00"/>
    <n v="620000"/>
    <n v="686869"/>
    <n v="686869"/>
    <n v="0"/>
    <n v="0"/>
    <n v="0"/>
    <n v="0"/>
    <n v="6868.69"/>
    <n v="60000"/>
    <n v="680000"/>
    <n v="6000"/>
    <m/>
    <n v="686869"/>
    <n v="103030"/>
    <x v="1"/>
    <x v="3"/>
    <x v="1"/>
    <x v="3"/>
  </r>
  <r>
    <x v="4"/>
    <s v="S05_2020_4"/>
    <x v="0"/>
    <s v="Transversal"/>
    <x v="4"/>
    <s v="Florentin"/>
    <x v="3"/>
    <x v="12"/>
    <x v="9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3"/>
  </r>
  <r>
    <x v="5"/>
    <s v="S06_2020_4"/>
    <x v="1"/>
    <s v="Transversal"/>
    <x v="5"/>
    <s v="Michel"/>
    <x v="4"/>
    <x v="12"/>
    <x v="9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3"/>
  </r>
  <r>
    <x v="7"/>
    <s v="S08_2020_4"/>
    <x v="0"/>
    <s v="Transversal"/>
    <x v="7"/>
    <s v="Onja"/>
    <x v="6"/>
    <x v="12"/>
    <x v="9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3"/>
  </r>
  <r>
    <x v="8"/>
    <s v="S09_2020_4"/>
    <x v="2"/>
    <s v="Maintenance"/>
    <x v="8"/>
    <s v="Rinon"/>
    <x v="1"/>
    <x v="12"/>
    <x v="9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3"/>
  </r>
  <r>
    <x v="9"/>
    <s v="S10_2020_4"/>
    <x v="2"/>
    <s v="Maintenance"/>
    <x v="9"/>
    <s v="Alain"/>
    <x v="7"/>
    <x v="12"/>
    <x v="9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3"/>
  </r>
  <r>
    <x v="10"/>
    <s v="S11_2020_4"/>
    <x v="0"/>
    <s v="Transversal"/>
    <x v="10"/>
    <s v="Raoul"/>
    <x v="8"/>
    <x v="12"/>
    <x v="9"/>
    <d v="2020-03-27T00:00:00"/>
    <n v="302900"/>
    <n v="233794"/>
    <n v="307940"/>
    <n v="17510"/>
    <n v="13341"/>
    <n v="0"/>
    <n v="45"/>
    <n v="3079.4"/>
    <n v="2000"/>
    <n v="304861"/>
    <n v="6000"/>
    <m/>
    <n v="307940"/>
    <n v="46191"/>
    <x v="1"/>
    <x v="0"/>
    <x v="4"/>
    <x v="3"/>
  </r>
  <r>
    <x v="11"/>
    <s v="S12_2020_4"/>
    <x v="0"/>
    <s v="Transversal"/>
    <x v="11"/>
    <s v="Benedictine"/>
    <x v="9"/>
    <x v="12"/>
    <x v="9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3"/>
  </r>
  <r>
    <x v="12"/>
    <s v="S13_2020_4"/>
    <x v="1"/>
    <s v="Transversal"/>
    <x v="12"/>
    <s v="Herizo"/>
    <x v="10"/>
    <x v="12"/>
    <x v="9"/>
    <d v="2019-07-25T00:00:00"/>
    <n v="2000000"/>
    <n v="2426000"/>
    <n v="2426000"/>
    <n v="0"/>
    <n v="0"/>
    <n v="0"/>
    <n v="0"/>
    <n v="16000"/>
    <n v="410000"/>
    <n v="2410000"/>
    <n v="2000"/>
    <m/>
    <n v="1904000"/>
    <n v="240000"/>
    <x v="1"/>
    <x v="0"/>
    <x v="0"/>
    <x v="3"/>
  </r>
  <r>
    <x v="13"/>
    <s v="S14_2020_4"/>
    <x v="0"/>
    <s v="Transversal"/>
    <x v="13"/>
    <s v="Rene"/>
    <x v="8"/>
    <x v="12"/>
    <x v="9"/>
    <d v="2020-03-27T00:00:00"/>
    <n v="302900"/>
    <n v="233794"/>
    <n v="307941"/>
    <n v="17511"/>
    <n v="13341"/>
    <n v="0"/>
    <n v="45"/>
    <n v="3079.41"/>
    <n v="2000"/>
    <n v="304862"/>
    <n v="6000"/>
    <m/>
    <n v="307941"/>
    <n v="46191"/>
    <x v="1"/>
    <x v="0"/>
    <x v="4"/>
    <x v="3"/>
  </r>
  <r>
    <x v="14"/>
    <s v="S15_2020_4"/>
    <x v="2"/>
    <s v="Transversal"/>
    <x v="14"/>
    <s v="Chrisos"/>
    <x v="11"/>
    <x v="12"/>
    <x v="9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3"/>
  </r>
  <r>
    <x v="15"/>
    <s v="S16_2020_4"/>
    <x v="0"/>
    <s v="Maintenance"/>
    <x v="15"/>
    <s v="Victorien"/>
    <x v="7"/>
    <x v="12"/>
    <x v="9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3"/>
  </r>
  <r>
    <x v="16"/>
    <s v="S17_2020_4"/>
    <x v="0"/>
    <s v="Transversal"/>
    <x v="16"/>
    <s v="Velonasy"/>
    <x v="8"/>
    <x v="12"/>
    <x v="9"/>
    <d v="2020-03-27T00:00:00"/>
    <n v="264800"/>
    <n v="233794"/>
    <n v="269457"/>
    <n v="17511"/>
    <n v="13341"/>
    <n v="1"/>
    <n v="0"/>
    <n v="2694.57"/>
    <n v="2000"/>
    <n v="266762"/>
    <n v="6000"/>
    <m/>
    <n v="269457"/>
    <n v="40419"/>
    <x v="1"/>
    <x v="0"/>
    <x v="4"/>
    <x v="3"/>
  </r>
  <r>
    <x v="17"/>
    <s v="S18_2020_4"/>
    <x v="0"/>
    <s v="Construction"/>
    <x v="17"/>
    <s v="Bienvenu"/>
    <x v="5"/>
    <x v="12"/>
    <x v="9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3"/>
  </r>
  <r>
    <x v="18"/>
    <s v="S19_2020_4"/>
    <x v="0"/>
    <s v="Maintenance"/>
    <x v="18"/>
    <s v="Faly"/>
    <x v="7"/>
    <x v="12"/>
    <x v="9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3"/>
  </r>
  <r>
    <x v="19"/>
    <s v="S20_2020_4"/>
    <x v="3"/>
    <s v="Maintenance"/>
    <x v="19"/>
    <s v="Manitrasina"/>
    <x v="1"/>
    <x v="12"/>
    <x v="9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3"/>
  </r>
  <r>
    <x v="0"/>
    <s v="S01_2020_5"/>
    <x v="0"/>
    <s v="Maintenance"/>
    <x v="0"/>
    <s v="Gaetan"/>
    <x v="0"/>
    <x v="13"/>
    <x v="10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3"/>
  </r>
  <r>
    <x v="1"/>
    <s v="S02_2020_5"/>
    <x v="0"/>
    <s v="Maintenance"/>
    <x v="1"/>
    <s v="Luo"/>
    <x v="1"/>
    <x v="13"/>
    <x v="10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3"/>
  </r>
  <r>
    <x v="2"/>
    <s v="S03_2020_5"/>
    <x v="0"/>
    <s v="Maintenance"/>
    <x v="2"/>
    <s v="Tsilavina"/>
    <x v="1"/>
    <x v="13"/>
    <x v="10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3"/>
  </r>
  <r>
    <x v="3"/>
    <s v="S04_2020_5"/>
    <x v="0"/>
    <s v="Transversal"/>
    <x v="3"/>
    <s v="Antoine"/>
    <x v="2"/>
    <x v="13"/>
    <x v="10"/>
    <d v="2020-02-20T00:00:00"/>
    <n v="620000"/>
    <n v="686869"/>
    <n v="686869"/>
    <n v="0"/>
    <n v="0"/>
    <n v="0"/>
    <n v="0"/>
    <n v="6868.69"/>
    <n v="60000"/>
    <n v="680000"/>
    <n v="6000"/>
    <m/>
    <n v="686869"/>
    <n v="103030"/>
    <x v="1"/>
    <x v="3"/>
    <x v="1"/>
    <x v="3"/>
  </r>
  <r>
    <x v="4"/>
    <s v="S05_2020_5"/>
    <x v="0"/>
    <s v="Transversal"/>
    <x v="4"/>
    <s v="Florentin"/>
    <x v="3"/>
    <x v="13"/>
    <x v="10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3"/>
  </r>
  <r>
    <x v="5"/>
    <s v="S06_2020_5"/>
    <x v="1"/>
    <s v="Transversal"/>
    <x v="5"/>
    <s v="Michel"/>
    <x v="4"/>
    <x v="13"/>
    <x v="10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3"/>
  </r>
  <r>
    <x v="7"/>
    <s v="S08_2020_5"/>
    <x v="0"/>
    <s v="Transversal"/>
    <x v="7"/>
    <s v="Onja"/>
    <x v="6"/>
    <x v="13"/>
    <x v="10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3"/>
  </r>
  <r>
    <x v="8"/>
    <s v="S09_2020_5"/>
    <x v="2"/>
    <s v="Maintenance"/>
    <x v="8"/>
    <s v="Rinon"/>
    <x v="1"/>
    <x v="13"/>
    <x v="10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3"/>
  </r>
  <r>
    <x v="9"/>
    <s v="S10_2020_5"/>
    <x v="2"/>
    <s v="Maintenance"/>
    <x v="9"/>
    <s v="Alain"/>
    <x v="7"/>
    <x v="13"/>
    <x v="10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3"/>
  </r>
  <r>
    <x v="10"/>
    <s v="S11_2020_5"/>
    <x v="0"/>
    <s v="Transversal"/>
    <x v="10"/>
    <s v="Raoul"/>
    <x v="8"/>
    <x v="13"/>
    <x v="10"/>
    <d v="2020-03-27T00:00:00"/>
    <n v="302900"/>
    <n v="233794"/>
    <n v="307940"/>
    <n v="17510"/>
    <n v="13341"/>
    <n v="0"/>
    <n v="45"/>
    <n v="3079.4"/>
    <n v="2000"/>
    <n v="304861"/>
    <n v="6000"/>
    <m/>
    <n v="307940"/>
    <n v="46191"/>
    <x v="1"/>
    <x v="0"/>
    <x v="4"/>
    <x v="3"/>
  </r>
  <r>
    <x v="11"/>
    <s v="S12_2020_5"/>
    <x v="0"/>
    <s v="Transversal"/>
    <x v="11"/>
    <s v="Benedictine"/>
    <x v="9"/>
    <x v="13"/>
    <x v="10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3"/>
  </r>
  <r>
    <x v="12"/>
    <s v="S13_2020_5"/>
    <x v="1"/>
    <s v="Transversal"/>
    <x v="12"/>
    <s v="Herizo"/>
    <x v="10"/>
    <x v="13"/>
    <x v="10"/>
    <d v="2020-05-27T00:00:00"/>
    <n v="2000000"/>
    <n v="2423500"/>
    <n v="2423500"/>
    <n v="0"/>
    <n v="0"/>
    <n v="0"/>
    <n v="0"/>
    <n v="16000"/>
    <n v="407500"/>
    <n v="2407500"/>
    <n v="4000"/>
    <m/>
    <n v="1904000"/>
    <n v="240000"/>
    <x v="1"/>
    <x v="0"/>
    <x v="0"/>
    <x v="3"/>
  </r>
  <r>
    <x v="13"/>
    <s v="S14_2020_5"/>
    <x v="0"/>
    <s v="Transversal"/>
    <x v="13"/>
    <s v="Rene"/>
    <x v="8"/>
    <x v="13"/>
    <x v="10"/>
    <d v="2020-05-30T00:00:00"/>
    <n v="264800"/>
    <n v="233794"/>
    <n v="269457"/>
    <n v="17511"/>
    <n v="13341"/>
    <n v="1"/>
    <n v="0"/>
    <n v="2694.57"/>
    <n v="2000"/>
    <n v="266762"/>
    <n v="6000"/>
    <m/>
    <n v="269457"/>
    <n v="40419"/>
    <x v="1"/>
    <x v="0"/>
    <x v="4"/>
    <x v="3"/>
  </r>
  <r>
    <x v="14"/>
    <s v="S15_2020_5"/>
    <x v="2"/>
    <s v="Transversal"/>
    <x v="14"/>
    <s v="Chrisos"/>
    <x v="11"/>
    <x v="13"/>
    <x v="10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3"/>
  </r>
  <r>
    <x v="15"/>
    <s v="S16_2020_5"/>
    <x v="0"/>
    <s v="Maintenance"/>
    <x v="15"/>
    <s v="Victorien"/>
    <x v="7"/>
    <x v="13"/>
    <x v="10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3"/>
  </r>
  <r>
    <x v="16"/>
    <s v="S17_2020_5"/>
    <x v="0"/>
    <s v="Transversal"/>
    <x v="16"/>
    <s v="Velonasy"/>
    <x v="8"/>
    <x v="13"/>
    <x v="10"/>
    <d v="2020-05-30T00:00:00"/>
    <n v="307700"/>
    <n v="233794"/>
    <n v="312752"/>
    <n v="17511"/>
    <n v="13341"/>
    <n v="1"/>
    <n v="45"/>
    <n v="3127.52"/>
    <n v="2000"/>
    <n v="309624"/>
    <n v="6000"/>
    <m/>
    <n v="312752"/>
    <n v="46913"/>
    <x v="1"/>
    <x v="0"/>
    <x v="4"/>
    <x v="3"/>
  </r>
  <r>
    <x v="17"/>
    <s v="S18_2020_5"/>
    <x v="0"/>
    <s v="Construction"/>
    <x v="17"/>
    <s v="Bienvenu"/>
    <x v="5"/>
    <x v="13"/>
    <x v="10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3"/>
  </r>
  <r>
    <x v="18"/>
    <s v="S19_2020_5"/>
    <x v="0"/>
    <s v="Maintenance"/>
    <x v="18"/>
    <s v="Faly"/>
    <x v="7"/>
    <x v="13"/>
    <x v="10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3"/>
  </r>
  <r>
    <x v="19"/>
    <s v="S20_2020_5"/>
    <x v="3"/>
    <s v="Maintenance"/>
    <x v="19"/>
    <s v="Manitrasina"/>
    <x v="1"/>
    <x v="13"/>
    <x v="10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3"/>
  </r>
  <r>
    <x v="20"/>
    <s v="S21_2020_5"/>
    <x v="0"/>
    <s v="Construction"/>
    <x v="20"/>
    <s v="Brenda"/>
    <x v="12"/>
    <x v="13"/>
    <x v="10"/>
    <d v="2020-05-27T00:00:00"/>
    <n v="270000"/>
    <n v="274747"/>
    <n v="274747"/>
    <n v="0"/>
    <n v="0"/>
    <n v="0"/>
    <n v="0"/>
    <n v="2747.47"/>
    <n v="2000"/>
    <n v="272000"/>
    <n v="0"/>
    <m/>
    <n v="274747"/>
    <n v="41212"/>
    <x v="6"/>
    <x v="7"/>
    <x v="1"/>
    <x v="3"/>
  </r>
  <r>
    <x v="21"/>
    <s v="S22_2020_5"/>
    <x v="0"/>
    <s v="Construction"/>
    <x v="21"/>
    <s v="Beatrice"/>
    <x v="5"/>
    <x v="13"/>
    <x v="10"/>
    <d v="2020-05-27T00:00:00"/>
    <n v="270000"/>
    <n v="274747"/>
    <n v="274747"/>
    <n v="0"/>
    <n v="0"/>
    <n v="0"/>
    <n v="0"/>
    <n v="2747.47"/>
    <n v="2000"/>
    <n v="272000"/>
    <n v="0"/>
    <m/>
    <n v="274747"/>
    <n v="41212"/>
    <x v="6"/>
    <x v="7"/>
    <x v="1"/>
    <x v="3"/>
  </r>
  <r>
    <x v="22"/>
    <s v="S23_2020_5"/>
    <x v="2"/>
    <s v="Transversal"/>
    <x v="22"/>
    <s v="Boris"/>
    <x v="13"/>
    <x v="13"/>
    <x v="10"/>
    <d v="2020-05-27T00:00:00"/>
    <n v="293000"/>
    <n v="297980"/>
    <n v="297980"/>
    <n v="0"/>
    <n v="0"/>
    <n v="0"/>
    <n v="0"/>
    <n v="2979.8"/>
    <n v="2000"/>
    <n v="295000"/>
    <n v="0"/>
    <m/>
    <n v="297980"/>
    <n v="44697"/>
    <x v="7"/>
    <x v="8"/>
    <x v="3"/>
    <x v="3"/>
  </r>
  <r>
    <x v="0"/>
    <s v="S01_2020_6"/>
    <x v="0"/>
    <s v="Maintenance"/>
    <x v="0"/>
    <s v="Gaetan"/>
    <x v="0"/>
    <x v="14"/>
    <x v="11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3"/>
  </r>
  <r>
    <x v="1"/>
    <s v="S02_2020_6"/>
    <x v="0"/>
    <s v="Maintenance"/>
    <x v="1"/>
    <s v="Luo"/>
    <x v="1"/>
    <x v="14"/>
    <x v="11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3"/>
  </r>
  <r>
    <x v="2"/>
    <s v="S03_2020_6"/>
    <x v="0"/>
    <s v="Maintenance"/>
    <x v="2"/>
    <s v="Tsilavina"/>
    <x v="1"/>
    <x v="14"/>
    <x v="11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3"/>
  </r>
  <r>
    <x v="3"/>
    <s v="S04_2020_6"/>
    <x v="0"/>
    <s v="Transversal"/>
    <x v="3"/>
    <s v="Antoine"/>
    <x v="2"/>
    <x v="14"/>
    <x v="11"/>
    <d v="2020-02-20T00:00:00"/>
    <n v="620000"/>
    <n v="686869"/>
    <n v="686869"/>
    <n v="0"/>
    <n v="0"/>
    <n v="0"/>
    <n v="0"/>
    <n v="6868.69"/>
    <n v="60000"/>
    <n v="680000"/>
    <n v="6000"/>
    <m/>
    <n v="686869"/>
    <n v="103030"/>
    <x v="1"/>
    <x v="3"/>
    <x v="1"/>
    <x v="3"/>
  </r>
  <r>
    <x v="4"/>
    <s v="S05_2020_6"/>
    <x v="0"/>
    <s v="Transversal"/>
    <x v="4"/>
    <s v="Florentin"/>
    <x v="3"/>
    <x v="14"/>
    <x v="11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3"/>
  </r>
  <r>
    <x v="5"/>
    <s v="S06_2020_6"/>
    <x v="1"/>
    <s v="Transversal"/>
    <x v="5"/>
    <s v="Michel"/>
    <x v="4"/>
    <x v="14"/>
    <x v="11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3"/>
  </r>
  <r>
    <x v="7"/>
    <s v="S08_2020_6"/>
    <x v="0"/>
    <s v="Transversal"/>
    <x v="7"/>
    <s v="Onja"/>
    <x v="6"/>
    <x v="14"/>
    <x v="11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3"/>
  </r>
  <r>
    <x v="8"/>
    <s v="S09_2020_6"/>
    <x v="2"/>
    <s v="Maintenance"/>
    <x v="8"/>
    <s v="Rinon"/>
    <x v="1"/>
    <x v="14"/>
    <x v="11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3"/>
  </r>
  <r>
    <x v="9"/>
    <s v="S10_2020_6"/>
    <x v="2"/>
    <s v="Maintenance"/>
    <x v="9"/>
    <s v="Alain"/>
    <x v="7"/>
    <x v="14"/>
    <x v="11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3"/>
  </r>
  <r>
    <x v="10"/>
    <s v="S11_2020_6"/>
    <x v="0"/>
    <s v="Transversal"/>
    <x v="10"/>
    <s v="Raoul"/>
    <x v="8"/>
    <x v="14"/>
    <x v="11"/>
    <d v="2020-06-24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3"/>
  </r>
  <r>
    <x v="11"/>
    <s v="S12_2020_6"/>
    <x v="0"/>
    <s v="Transversal"/>
    <x v="11"/>
    <s v="Benedictine"/>
    <x v="9"/>
    <x v="14"/>
    <x v="11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3"/>
  </r>
  <r>
    <x v="12"/>
    <s v="S13_2020_6"/>
    <x v="1"/>
    <s v="Transversal"/>
    <x v="12"/>
    <s v="Herizo"/>
    <x v="10"/>
    <x v="14"/>
    <x v="11"/>
    <d v="2020-05-27T00:00:00"/>
    <n v="2000000"/>
    <n v="2423500"/>
    <n v="2423500"/>
    <n v="0"/>
    <n v="0"/>
    <n v="0"/>
    <n v="0"/>
    <n v="16000"/>
    <n v="407500"/>
    <n v="2407500"/>
    <n v="4000"/>
    <m/>
    <n v="1904000"/>
    <n v="240000"/>
    <x v="1"/>
    <x v="0"/>
    <x v="0"/>
    <x v="3"/>
  </r>
  <r>
    <x v="13"/>
    <s v="S14_2020_6"/>
    <x v="0"/>
    <s v="Transversal"/>
    <x v="13"/>
    <s v="Rene"/>
    <x v="8"/>
    <x v="14"/>
    <x v="11"/>
    <d v="2020-06-24T00:00:00"/>
    <n v="289600"/>
    <n v="233794"/>
    <n v="294472"/>
    <n v="17511"/>
    <n v="13341"/>
    <n v="0"/>
    <n v="31"/>
    <n v="2944.72"/>
    <n v="2000"/>
    <n v="291527"/>
    <n v="6000"/>
    <m/>
    <n v="294472"/>
    <n v="44171"/>
    <x v="1"/>
    <x v="0"/>
    <x v="4"/>
    <x v="3"/>
  </r>
  <r>
    <x v="14"/>
    <s v="S15_2020_6"/>
    <x v="2"/>
    <s v="Transversal"/>
    <x v="14"/>
    <s v="Chrisos"/>
    <x v="11"/>
    <x v="14"/>
    <x v="11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3"/>
  </r>
  <r>
    <x v="15"/>
    <s v="S16_2020_6"/>
    <x v="0"/>
    <s v="Maintenance"/>
    <x v="15"/>
    <s v="Victorien"/>
    <x v="7"/>
    <x v="14"/>
    <x v="11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3"/>
  </r>
  <r>
    <x v="16"/>
    <s v="S17_2020_6"/>
    <x v="0"/>
    <s v="Transversal"/>
    <x v="16"/>
    <s v="Velonasy"/>
    <x v="8"/>
    <x v="14"/>
    <x v="11"/>
    <d v="2020-06-24T00:00:00"/>
    <n v="312400"/>
    <n v="233794"/>
    <n v="317562"/>
    <n v="17511"/>
    <n v="13341"/>
    <n v="2"/>
    <n v="45"/>
    <n v="3175.62"/>
    <n v="2000"/>
    <n v="314386"/>
    <n v="6000"/>
    <m/>
    <n v="317562"/>
    <n v="47634"/>
    <x v="1"/>
    <x v="0"/>
    <x v="4"/>
    <x v="3"/>
  </r>
  <r>
    <x v="17"/>
    <s v="S18_2020_6"/>
    <x v="0"/>
    <s v="Construction"/>
    <x v="17"/>
    <s v="Bienvenu"/>
    <x v="5"/>
    <x v="14"/>
    <x v="11"/>
    <d v="2019-09-26T00:00:00"/>
    <n v="290000"/>
    <n v="294949"/>
    <n v="294949"/>
    <n v="0"/>
    <n v="0"/>
    <n v="0"/>
    <n v="0"/>
    <n v="2949.49"/>
    <n v="2000"/>
    <n v="292000"/>
    <n v="2000"/>
    <m/>
    <n v="294949"/>
    <n v="44242"/>
    <x v="3"/>
    <x v="6"/>
    <x v="1"/>
    <x v="3"/>
  </r>
  <r>
    <x v="18"/>
    <s v="S19_2020_6"/>
    <x v="0"/>
    <s v="Maintenance"/>
    <x v="18"/>
    <s v="Faly"/>
    <x v="7"/>
    <x v="14"/>
    <x v="11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3"/>
  </r>
  <r>
    <x v="19"/>
    <s v="S20_2020_6"/>
    <x v="3"/>
    <s v="Maintenance"/>
    <x v="19"/>
    <s v="Manitrasina"/>
    <x v="1"/>
    <x v="14"/>
    <x v="11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3"/>
  </r>
  <r>
    <x v="20"/>
    <s v="S21_2020_6"/>
    <x v="0"/>
    <s v="Construction"/>
    <x v="20"/>
    <s v="Brenda"/>
    <x v="12"/>
    <x v="14"/>
    <x v="11"/>
    <d v="2020-05-27T00:00:00"/>
    <n v="270000"/>
    <n v="274747"/>
    <n v="274747"/>
    <n v="0"/>
    <n v="0"/>
    <n v="0"/>
    <n v="0"/>
    <n v="2747.47"/>
    <n v="2000"/>
    <n v="272000"/>
    <n v="0"/>
    <m/>
    <n v="274747"/>
    <n v="41212"/>
    <x v="6"/>
    <x v="7"/>
    <x v="1"/>
    <x v="3"/>
  </r>
  <r>
    <x v="21"/>
    <s v="S22_2020_6"/>
    <x v="0"/>
    <s v="Construction"/>
    <x v="21"/>
    <s v="Beatrice"/>
    <x v="5"/>
    <x v="14"/>
    <x v="11"/>
    <d v="2020-05-27T00:00:00"/>
    <n v="270000"/>
    <n v="274747"/>
    <n v="274747"/>
    <n v="0"/>
    <n v="0"/>
    <n v="0"/>
    <n v="0"/>
    <n v="2747.47"/>
    <n v="2000"/>
    <n v="272000"/>
    <n v="0"/>
    <m/>
    <n v="274747"/>
    <n v="41212"/>
    <x v="6"/>
    <x v="7"/>
    <x v="1"/>
    <x v="3"/>
  </r>
  <r>
    <x v="22"/>
    <s v="S23_2020_6"/>
    <x v="2"/>
    <s v="Transversal"/>
    <x v="22"/>
    <s v="Boris"/>
    <x v="13"/>
    <x v="14"/>
    <x v="11"/>
    <d v="2020-06-24T00:00:00"/>
    <n v="550000"/>
    <n v="606061"/>
    <n v="606061"/>
    <n v="0"/>
    <n v="0"/>
    <n v="0"/>
    <n v="0"/>
    <n v="6060.61"/>
    <n v="50000"/>
    <n v="600000"/>
    <n v="0"/>
    <m/>
    <n v="606061"/>
    <n v="90909"/>
    <x v="7"/>
    <x v="8"/>
    <x v="3"/>
    <x v="3"/>
  </r>
  <r>
    <x v="0"/>
    <s v="S01_2020_7"/>
    <x v="0"/>
    <s v="Maintenance"/>
    <x v="0"/>
    <s v="Gaetan"/>
    <x v="0"/>
    <x v="15"/>
    <x v="12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4"/>
  </r>
  <r>
    <x v="1"/>
    <s v="S02_2020_7"/>
    <x v="0"/>
    <s v="Maintenance"/>
    <x v="1"/>
    <s v="Luo"/>
    <x v="1"/>
    <x v="15"/>
    <x v="12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4"/>
  </r>
  <r>
    <x v="2"/>
    <s v="S03_2020_7"/>
    <x v="0"/>
    <s v="Maintenance"/>
    <x v="2"/>
    <s v="Tsilavina"/>
    <x v="1"/>
    <x v="15"/>
    <x v="12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4"/>
  </r>
  <r>
    <x v="3"/>
    <s v="S04_2020_7"/>
    <x v="0"/>
    <s v="Transversal"/>
    <x v="3"/>
    <s v="Antoine"/>
    <x v="2"/>
    <x v="15"/>
    <x v="12"/>
    <d v="2020-02-20T00:00:00"/>
    <n v="620000"/>
    <n v="686869"/>
    <n v="686869"/>
    <n v="0"/>
    <n v="0"/>
    <n v="0"/>
    <n v="0"/>
    <n v="6868.69"/>
    <n v="60000"/>
    <n v="680000"/>
    <n v="6000"/>
    <m/>
    <n v="686869"/>
    <n v="103030"/>
    <x v="1"/>
    <x v="3"/>
    <x v="1"/>
    <x v="4"/>
  </r>
  <r>
    <x v="4"/>
    <s v="S05_2020_7"/>
    <x v="0"/>
    <s v="Transversal"/>
    <x v="4"/>
    <s v="Florentin"/>
    <x v="3"/>
    <x v="15"/>
    <x v="12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4"/>
  </r>
  <r>
    <x v="5"/>
    <s v="S06_2020_7"/>
    <x v="1"/>
    <s v="Transversal"/>
    <x v="5"/>
    <s v="Michel"/>
    <x v="4"/>
    <x v="15"/>
    <x v="12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4"/>
  </r>
  <r>
    <x v="7"/>
    <s v="S08_2020_7"/>
    <x v="0"/>
    <s v="Transversal"/>
    <x v="7"/>
    <s v="Onja"/>
    <x v="6"/>
    <x v="15"/>
    <x v="12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4"/>
  </r>
  <r>
    <x v="8"/>
    <s v="S09_2020_7"/>
    <x v="2"/>
    <s v="Maintenance"/>
    <x v="8"/>
    <s v="Rinon"/>
    <x v="1"/>
    <x v="15"/>
    <x v="12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4"/>
  </r>
  <r>
    <x v="9"/>
    <s v="S10_2020_7"/>
    <x v="2"/>
    <s v="Maintenance"/>
    <x v="9"/>
    <s v="Alain"/>
    <x v="7"/>
    <x v="15"/>
    <x v="12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4"/>
  </r>
  <r>
    <x v="10"/>
    <s v="S11_2020_7"/>
    <x v="0"/>
    <s v="Transversal"/>
    <x v="10"/>
    <s v="Raoul"/>
    <x v="8"/>
    <x v="15"/>
    <x v="12"/>
    <d v="2020-03-27T00:00:00"/>
    <n v="302900"/>
    <n v="233794"/>
    <n v="307940"/>
    <n v="17510"/>
    <n v="13341"/>
    <n v="0"/>
    <n v="45"/>
    <n v="3079.4"/>
    <n v="2000"/>
    <n v="304861"/>
    <n v="6000"/>
    <m/>
    <n v="307940"/>
    <n v="46191"/>
    <x v="1"/>
    <x v="0"/>
    <x v="4"/>
    <x v="4"/>
  </r>
  <r>
    <x v="11"/>
    <s v="S12_2020_7"/>
    <x v="0"/>
    <s v="Transversal"/>
    <x v="11"/>
    <s v="Benedictine"/>
    <x v="9"/>
    <x v="15"/>
    <x v="12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4"/>
  </r>
  <r>
    <x v="12"/>
    <s v="S13_2020_7"/>
    <x v="1"/>
    <s v="Transversal"/>
    <x v="12"/>
    <s v="Herizo"/>
    <x v="10"/>
    <x v="15"/>
    <x v="12"/>
    <d v="2020-07-27T00:00:00"/>
    <n v="2100000"/>
    <n v="2548500"/>
    <n v="2548500"/>
    <n v="0"/>
    <n v="0"/>
    <n v="0"/>
    <n v="0"/>
    <n v="16000"/>
    <n v="432500"/>
    <n v="2532500"/>
    <n v="4000"/>
    <m/>
    <n v="1904000"/>
    <n v="240000"/>
    <x v="1"/>
    <x v="0"/>
    <x v="0"/>
    <x v="4"/>
  </r>
  <r>
    <x v="13"/>
    <s v="S14_2020_7"/>
    <x v="0"/>
    <s v="Transversal"/>
    <x v="13"/>
    <s v="Rene"/>
    <x v="8"/>
    <x v="15"/>
    <x v="12"/>
    <d v="2020-07-27T00:00:00"/>
    <n v="307700"/>
    <n v="233850"/>
    <n v="312828"/>
    <n v="17515"/>
    <n v="13345"/>
    <n v="1"/>
    <n v="45"/>
    <n v="3128.28"/>
    <n v="2000"/>
    <n v="309700"/>
    <n v="6000"/>
    <m/>
    <n v="312828"/>
    <n v="46924"/>
    <x v="1"/>
    <x v="0"/>
    <x v="4"/>
    <x v="4"/>
  </r>
  <r>
    <x v="14"/>
    <s v="S15_2020_7"/>
    <x v="2"/>
    <s v="Transversal"/>
    <x v="14"/>
    <s v="Chrisos"/>
    <x v="11"/>
    <x v="15"/>
    <x v="12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4"/>
  </r>
  <r>
    <x v="15"/>
    <s v="S16_2020_7"/>
    <x v="0"/>
    <s v="Maintenance"/>
    <x v="15"/>
    <s v="Victorien"/>
    <x v="7"/>
    <x v="15"/>
    <x v="12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4"/>
  </r>
  <r>
    <x v="16"/>
    <s v="S17_2020_7"/>
    <x v="0"/>
    <s v="Transversal"/>
    <x v="16"/>
    <s v="Velonasy"/>
    <x v="8"/>
    <x v="15"/>
    <x v="12"/>
    <d v="2020-02-20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4"/>
  </r>
  <r>
    <x v="17"/>
    <s v="S18_2020_7"/>
    <x v="0"/>
    <s v="Construction"/>
    <x v="17"/>
    <s v="Bienvenu"/>
    <x v="5"/>
    <x v="15"/>
    <x v="12"/>
    <d v="2020-07-27T00:00:00"/>
    <n v="300000"/>
    <n v="305050"/>
    <n v="305050"/>
    <n v="0"/>
    <n v="0"/>
    <n v="0"/>
    <n v="0"/>
    <n v="3050.5"/>
    <n v="2000"/>
    <n v="302000"/>
    <n v="2000"/>
    <m/>
    <n v="305050"/>
    <n v="45758"/>
    <x v="3"/>
    <x v="6"/>
    <x v="1"/>
    <x v="4"/>
  </r>
  <r>
    <x v="18"/>
    <s v="S19_2020_7"/>
    <x v="0"/>
    <s v="Maintenance"/>
    <x v="18"/>
    <s v="Faly"/>
    <x v="7"/>
    <x v="15"/>
    <x v="12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4"/>
  </r>
  <r>
    <x v="19"/>
    <s v="S20_2020_7"/>
    <x v="3"/>
    <s v="Maintenance"/>
    <x v="19"/>
    <s v="Manitrasina"/>
    <x v="1"/>
    <x v="15"/>
    <x v="12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4"/>
  </r>
  <r>
    <x v="20"/>
    <s v="S21_2020_7"/>
    <x v="0"/>
    <s v="Construction"/>
    <x v="20"/>
    <s v="Brenda"/>
    <x v="12"/>
    <x v="15"/>
    <x v="12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4"/>
  </r>
  <r>
    <x v="21"/>
    <s v="S22_2020_7"/>
    <x v="0"/>
    <s v="Construction"/>
    <x v="21"/>
    <s v="Beatrice"/>
    <x v="5"/>
    <x v="15"/>
    <x v="12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4"/>
  </r>
  <r>
    <x v="22"/>
    <s v="S23_2020_7"/>
    <x v="2"/>
    <s v="Transversal"/>
    <x v="22"/>
    <s v="Boris"/>
    <x v="13"/>
    <x v="15"/>
    <x v="12"/>
    <d v="2020-06-27T00:00:00"/>
    <n v="550000"/>
    <n v="606061"/>
    <n v="606061"/>
    <n v="0"/>
    <n v="0"/>
    <n v="0"/>
    <n v="0"/>
    <n v="6060.61"/>
    <n v="50000"/>
    <n v="600000"/>
    <n v="0"/>
    <m/>
    <n v="606061"/>
    <n v="90909"/>
    <x v="7"/>
    <x v="8"/>
    <x v="3"/>
    <x v="4"/>
  </r>
  <r>
    <x v="23"/>
    <s v="S24_2020_7"/>
    <x v="2"/>
    <s v="Transversal"/>
    <x v="23"/>
    <s v="Christophe"/>
    <x v="14"/>
    <x v="16"/>
    <x v="12"/>
    <d v="2020-07-28T00:00:00"/>
    <n v="450000"/>
    <n v="479798"/>
    <n v="479798"/>
    <n v="0"/>
    <n v="0"/>
    <n v="0"/>
    <n v="0"/>
    <n v="4797.9799999999996"/>
    <n v="25000"/>
    <n v="475000"/>
    <n v="0"/>
    <m/>
    <n v="479798"/>
    <n v="71970"/>
    <x v="8"/>
    <x v="0"/>
    <x v="3"/>
    <x v="4"/>
  </r>
  <r>
    <x v="24"/>
    <s v="S25_2020_7"/>
    <x v="2"/>
    <s v="Maintenance"/>
    <x v="24"/>
    <s v="Doris"/>
    <x v="1"/>
    <x v="16"/>
    <x v="12"/>
    <d v="2020-07-28T00:00:00"/>
    <n v="420000"/>
    <n v="439394"/>
    <n v="439394"/>
    <n v="0"/>
    <n v="0"/>
    <n v="0"/>
    <n v="0"/>
    <n v="4393.9399999999996"/>
    <n v="15000"/>
    <n v="435000"/>
    <n v="2000"/>
    <m/>
    <n v="439394"/>
    <n v="65909"/>
    <x v="8"/>
    <x v="1"/>
    <x v="1"/>
    <x v="4"/>
  </r>
  <r>
    <x v="25"/>
    <s v="S26_2020_7"/>
    <x v="0"/>
    <s v="Construction"/>
    <x v="25"/>
    <s v="Anicet"/>
    <x v="5"/>
    <x v="16"/>
    <x v="12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4"/>
  </r>
  <r>
    <x v="26"/>
    <s v="S27_2020_7"/>
    <x v="2"/>
    <s v="Construction"/>
    <x v="26"/>
    <s v="Estheline"/>
    <x v="12"/>
    <x v="16"/>
    <x v="12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9"/>
    <x v="1"/>
    <x v="4"/>
  </r>
  <r>
    <x v="27"/>
    <s v="S28_2020_7"/>
    <x v="2"/>
    <s v="Construction"/>
    <x v="27"/>
    <s v="Rodin"/>
    <x v="1"/>
    <x v="16"/>
    <x v="12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4"/>
  </r>
  <r>
    <x v="28"/>
    <s v="S29_2020_7"/>
    <x v="2"/>
    <s v="Construction"/>
    <x v="28"/>
    <s v="Raissa"/>
    <x v="15"/>
    <x v="16"/>
    <x v="12"/>
    <d v="2020-07-28T00:00:00"/>
    <n v="220000"/>
    <n v="224242"/>
    <n v="224242"/>
    <n v="0"/>
    <n v="0"/>
    <n v="0"/>
    <n v="0"/>
    <n v="2242.42"/>
    <n v="2000"/>
    <n v="222000"/>
    <n v="0"/>
    <m/>
    <n v="224242"/>
    <n v="33636"/>
    <x v="8"/>
    <x v="10"/>
    <x v="1"/>
    <x v="4"/>
  </r>
  <r>
    <x v="29"/>
    <s v="S30_2020_7"/>
    <x v="2"/>
    <s v="Transversal"/>
    <x v="29"/>
    <s v="Marie Jeanne"/>
    <x v="9"/>
    <x v="16"/>
    <x v="12"/>
    <d v="2020-07-28T00:00:00"/>
    <n v="80000"/>
    <n v="82828"/>
    <n v="82828"/>
    <n v="0"/>
    <n v="0"/>
    <n v="0"/>
    <n v="0"/>
    <n v="828.28"/>
    <n v="2000"/>
    <n v="82000"/>
    <n v="0"/>
    <m/>
    <n v="82828"/>
    <n v="12424"/>
    <x v="8"/>
    <x v="0"/>
    <x v="5"/>
    <x v="4"/>
  </r>
  <r>
    <x v="0"/>
    <s v="S01_2020_8"/>
    <x v="0"/>
    <s v="Maintenance"/>
    <x v="0"/>
    <s v="Gaetan"/>
    <x v="0"/>
    <x v="17"/>
    <x v="13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4"/>
  </r>
  <r>
    <x v="1"/>
    <s v="S02_2020_8"/>
    <x v="0"/>
    <s v="Maintenance"/>
    <x v="1"/>
    <s v="Luo"/>
    <x v="1"/>
    <x v="17"/>
    <x v="13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4"/>
  </r>
  <r>
    <x v="2"/>
    <s v="S03_2020_8"/>
    <x v="0"/>
    <s v="Maintenance"/>
    <x v="2"/>
    <s v="Tsilavina"/>
    <x v="1"/>
    <x v="17"/>
    <x v="13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4"/>
  </r>
  <r>
    <x v="3"/>
    <s v="S04_2020_8"/>
    <x v="0"/>
    <s v="Transversal"/>
    <x v="3"/>
    <s v="Antoine"/>
    <x v="2"/>
    <x v="17"/>
    <x v="13"/>
    <d v="2020-02-20T00:00:00"/>
    <n v="620000"/>
    <n v="686869"/>
    <n v="686869"/>
    <n v="0"/>
    <n v="0"/>
    <n v="0"/>
    <n v="0"/>
    <n v="6868.69"/>
    <n v="60000"/>
    <n v="680000"/>
    <n v="6000"/>
    <m/>
    <n v="686869"/>
    <n v="103030"/>
    <x v="1"/>
    <x v="3"/>
    <x v="1"/>
    <x v="4"/>
  </r>
  <r>
    <x v="4"/>
    <s v="S05_2020_8"/>
    <x v="0"/>
    <s v="Transversal"/>
    <x v="4"/>
    <s v="Florentin"/>
    <x v="3"/>
    <x v="17"/>
    <x v="13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4"/>
  </r>
  <r>
    <x v="5"/>
    <s v="S06_2020_8"/>
    <x v="1"/>
    <s v="Transversal"/>
    <x v="5"/>
    <s v="Michel"/>
    <x v="4"/>
    <x v="17"/>
    <x v="13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4"/>
  </r>
  <r>
    <x v="7"/>
    <s v="S08_2020_8"/>
    <x v="0"/>
    <s v="Transversal"/>
    <x v="7"/>
    <s v="Onja"/>
    <x v="6"/>
    <x v="17"/>
    <x v="13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4"/>
  </r>
  <r>
    <x v="8"/>
    <s v="S09_2020_8"/>
    <x v="2"/>
    <s v="Maintenance"/>
    <x v="8"/>
    <s v="Rinon"/>
    <x v="1"/>
    <x v="17"/>
    <x v="13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4"/>
  </r>
  <r>
    <x v="9"/>
    <s v="S10_2020_8"/>
    <x v="2"/>
    <s v="Maintenance"/>
    <x v="9"/>
    <s v="Alain"/>
    <x v="7"/>
    <x v="17"/>
    <x v="13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4"/>
  </r>
  <r>
    <x v="10"/>
    <s v="S11_2020_8"/>
    <x v="0"/>
    <s v="Transversal"/>
    <x v="10"/>
    <s v="Raoul"/>
    <x v="8"/>
    <x v="17"/>
    <x v="13"/>
    <d v="2020-02-20T00:00:00"/>
    <n v="266700"/>
    <n v="233794"/>
    <n v="271381"/>
    <n v="17511"/>
    <n v="13341"/>
    <n v="0"/>
    <n v="7"/>
    <n v="2713.81"/>
    <n v="2000"/>
    <n v="268667"/>
    <n v="6000"/>
    <m/>
    <n v="271381"/>
    <n v="40707"/>
    <x v="1"/>
    <x v="0"/>
    <x v="4"/>
    <x v="4"/>
  </r>
  <r>
    <x v="11"/>
    <s v="S12_2020_8"/>
    <x v="0"/>
    <s v="Transversal"/>
    <x v="11"/>
    <s v="Benedictine"/>
    <x v="9"/>
    <x v="17"/>
    <x v="13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4"/>
  </r>
  <r>
    <x v="12"/>
    <s v="S13_2020_8"/>
    <x v="1"/>
    <s v="Transversal"/>
    <x v="12"/>
    <s v="Herizo"/>
    <x v="10"/>
    <x v="17"/>
    <x v="13"/>
    <d v="2020-07-27T00:00:00"/>
    <n v="2100000"/>
    <n v="2548500"/>
    <n v="2548500"/>
    <n v="0"/>
    <n v="0"/>
    <n v="0"/>
    <n v="0"/>
    <n v="16000"/>
    <n v="432500"/>
    <n v="2532500"/>
    <n v="4000"/>
    <m/>
    <n v="1904000"/>
    <n v="240000"/>
    <x v="1"/>
    <x v="0"/>
    <x v="0"/>
    <x v="4"/>
  </r>
  <r>
    <x v="13"/>
    <s v="S14_2020_8"/>
    <x v="0"/>
    <s v="Transversal"/>
    <x v="13"/>
    <s v="Rene"/>
    <x v="8"/>
    <x v="17"/>
    <x v="13"/>
    <d v="2020-08-27T00:00:00"/>
    <n v="275400"/>
    <n v="233850"/>
    <n v="280108"/>
    <n v="17515"/>
    <n v="13345"/>
    <n v="1"/>
    <n v="11"/>
    <n v="2801.08"/>
    <n v="2000"/>
    <n v="277307"/>
    <n v="6000"/>
    <m/>
    <n v="280108"/>
    <n v="42016"/>
    <x v="1"/>
    <x v="0"/>
    <x v="4"/>
    <x v="4"/>
  </r>
  <r>
    <x v="14"/>
    <s v="S15_2020_8"/>
    <x v="2"/>
    <s v="Transversal"/>
    <x v="14"/>
    <s v="Chrisos"/>
    <x v="11"/>
    <x v="17"/>
    <x v="13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4"/>
  </r>
  <r>
    <x v="15"/>
    <s v="S16_2020_8"/>
    <x v="0"/>
    <s v="Maintenance"/>
    <x v="15"/>
    <s v="Victorien"/>
    <x v="7"/>
    <x v="17"/>
    <x v="13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4"/>
  </r>
  <r>
    <x v="16"/>
    <s v="S17_2020_8"/>
    <x v="0"/>
    <s v="Transversal"/>
    <x v="16"/>
    <s v="Velonasy"/>
    <x v="8"/>
    <x v="17"/>
    <x v="13"/>
    <d v="2020-02-20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4"/>
  </r>
  <r>
    <x v="17"/>
    <s v="S18_2020_8"/>
    <x v="0"/>
    <s v="Construction"/>
    <x v="17"/>
    <s v="Bienvenu"/>
    <x v="5"/>
    <x v="17"/>
    <x v="13"/>
    <d v="2020-07-27T00:00:00"/>
    <n v="300000"/>
    <n v="305050"/>
    <n v="305050"/>
    <n v="0"/>
    <n v="0"/>
    <n v="0"/>
    <n v="0"/>
    <n v="3050.5"/>
    <n v="2000"/>
    <n v="302000"/>
    <n v="2000"/>
    <m/>
    <n v="305050"/>
    <n v="45758"/>
    <x v="3"/>
    <x v="6"/>
    <x v="1"/>
    <x v="4"/>
  </r>
  <r>
    <x v="18"/>
    <s v="S19_2020_8"/>
    <x v="0"/>
    <s v="Maintenance"/>
    <x v="18"/>
    <s v="Faly"/>
    <x v="7"/>
    <x v="17"/>
    <x v="13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4"/>
  </r>
  <r>
    <x v="19"/>
    <s v="S20_2020_8"/>
    <x v="3"/>
    <s v="Maintenance"/>
    <x v="19"/>
    <s v="Manitrasina"/>
    <x v="1"/>
    <x v="17"/>
    <x v="13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4"/>
  </r>
  <r>
    <x v="20"/>
    <s v="S21_2020_8"/>
    <x v="0"/>
    <s v="Construction"/>
    <x v="20"/>
    <s v="Brenda"/>
    <x v="12"/>
    <x v="17"/>
    <x v="13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4"/>
  </r>
  <r>
    <x v="21"/>
    <s v="S22_2020_8"/>
    <x v="0"/>
    <s v="Construction"/>
    <x v="21"/>
    <s v="Beatrice"/>
    <x v="5"/>
    <x v="17"/>
    <x v="13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4"/>
  </r>
  <r>
    <x v="22"/>
    <s v="S23_2020_8"/>
    <x v="2"/>
    <s v="Transversal"/>
    <x v="22"/>
    <s v="Boris"/>
    <x v="13"/>
    <x v="17"/>
    <x v="13"/>
    <d v="2020-06-27T00:00:00"/>
    <n v="550000"/>
    <n v="606061"/>
    <n v="606061"/>
    <n v="0"/>
    <n v="0"/>
    <n v="0"/>
    <n v="0"/>
    <n v="6060.61"/>
    <n v="50000"/>
    <n v="600000"/>
    <n v="0"/>
    <m/>
    <n v="606061"/>
    <n v="90909"/>
    <x v="7"/>
    <x v="8"/>
    <x v="3"/>
    <x v="4"/>
  </r>
  <r>
    <x v="23"/>
    <s v="S24_2020_8"/>
    <x v="2"/>
    <s v="Transversal"/>
    <x v="23"/>
    <s v="Christophe"/>
    <x v="14"/>
    <x v="17"/>
    <x v="13"/>
    <d v="2020-07-28T00:00:00"/>
    <n v="450000"/>
    <n v="479798"/>
    <n v="479798"/>
    <n v="0"/>
    <n v="0"/>
    <n v="0"/>
    <n v="0"/>
    <n v="4797.9799999999996"/>
    <n v="25000"/>
    <n v="475000"/>
    <n v="0"/>
    <m/>
    <n v="479798"/>
    <n v="71970"/>
    <x v="8"/>
    <x v="0"/>
    <x v="3"/>
    <x v="4"/>
  </r>
  <r>
    <x v="24"/>
    <s v="S25_2020_8"/>
    <x v="2"/>
    <s v="Maintenance"/>
    <x v="24"/>
    <s v="Doris"/>
    <x v="1"/>
    <x v="17"/>
    <x v="13"/>
    <d v="2020-07-28T00:00:00"/>
    <n v="420000"/>
    <n v="439394"/>
    <n v="439394"/>
    <n v="0"/>
    <n v="0"/>
    <n v="0"/>
    <n v="0"/>
    <n v="4393.9399999999996"/>
    <n v="15000"/>
    <n v="435000"/>
    <n v="2000"/>
    <m/>
    <n v="439394"/>
    <n v="65909"/>
    <x v="8"/>
    <x v="1"/>
    <x v="1"/>
    <x v="4"/>
  </r>
  <r>
    <x v="25"/>
    <s v="S26_2020_8"/>
    <x v="0"/>
    <s v="Construction"/>
    <x v="25"/>
    <s v="Anicet"/>
    <x v="5"/>
    <x v="17"/>
    <x v="13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4"/>
  </r>
  <r>
    <x v="26"/>
    <s v="S27_2020_8"/>
    <x v="2"/>
    <s v="Construction"/>
    <x v="26"/>
    <s v="Estheline"/>
    <x v="12"/>
    <x v="17"/>
    <x v="13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9"/>
    <x v="1"/>
    <x v="4"/>
  </r>
  <r>
    <x v="27"/>
    <s v="S28_2020_8"/>
    <x v="2"/>
    <s v="Construction"/>
    <x v="27"/>
    <s v="Rodin"/>
    <x v="1"/>
    <x v="17"/>
    <x v="13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4"/>
  </r>
  <r>
    <x v="29"/>
    <s v="S30_2020_8"/>
    <x v="2"/>
    <s v="Transversal"/>
    <x v="29"/>
    <s v="Marie Jeanne"/>
    <x v="9"/>
    <x v="17"/>
    <x v="13"/>
    <d v="2020-07-28T00:00:00"/>
    <n v="80000"/>
    <n v="82828"/>
    <n v="82828"/>
    <n v="0"/>
    <n v="0"/>
    <n v="0"/>
    <n v="0"/>
    <n v="828.28"/>
    <n v="2000"/>
    <n v="82000"/>
    <n v="0"/>
    <m/>
    <n v="82828"/>
    <n v="12424"/>
    <x v="8"/>
    <x v="0"/>
    <x v="5"/>
    <x v="4"/>
  </r>
  <r>
    <x v="30"/>
    <s v="S31_2020_8"/>
    <x v="2"/>
    <s v="Maintenance"/>
    <x v="30"/>
    <s v="Fabiolain"/>
    <x v="1"/>
    <x v="18"/>
    <x v="13"/>
    <d v="2020-08-31T00:00:00"/>
    <e v="#REF!"/>
    <n v="174747"/>
    <e v="#REF!"/>
    <n v="0"/>
    <n v="0"/>
    <n v="0"/>
    <n v="0"/>
    <e v="#REF!"/>
    <e v="#REF!"/>
    <e v="#REF!"/>
    <n v="0"/>
    <m/>
    <e v="#REF!"/>
    <e v="#REF!"/>
    <x v="9"/>
    <x v="11"/>
    <x v="1"/>
    <x v="4"/>
  </r>
  <r>
    <x v="0"/>
    <s v="S01_2020_9"/>
    <x v="0"/>
    <s v="Maintenance"/>
    <x v="0"/>
    <s v="Gaetan"/>
    <x v="0"/>
    <x v="19"/>
    <x v="14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4"/>
  </r>
  <r>
    <x v="1"/>
    <s v="S02_2020_9"/>
    <x v="0"/>
    <s v="Maintenance"/>
    <x v="1"/>
    <s v="Luo"/>
    <x v="1"/>
    <x v="19"/>
    <x v="14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4"/>
  </r>
  <r>
    <x v="2"/>
    <s v="S03_2020_9"/>
    <x v="0"/>
    <s v="Maintenance"/>
    <x v="2"/>
    <s v="Tsilavina"/>
    <x v="1"/>
    <x v="19"/>
    <x v="14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4"/>
  </r>
  <r>
    <x v="4"/>
    <s v="S05_2020_9"/>
    <x v="0"/>
    <s v="Transversal"/>
    <x v="4"/>
    <s v="Florentin"/>
    <x v="3"/>
    <x v="19"/>
    <x v="14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4"/>
  </r>
  <r>
    <x v="5"/>
    <s v="S06_2020_9"/>
    <x v="1"/>
    <s v="Transversal"/>
    <x v="5"/>
    <s v="Michel"/>
    <x v="4"/>
    <x v="19"/>
    <x v="14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4"/>
  </r>
  <r>
    <x v="7"/>
    <s v="S08_2020_9"/>
    <x v="0"/>
    <s v="Transversal"/>
    <x v="7"/>
    <s v="Onja"/>
    <x v="6"/>
    <x v="19"/>
    <x v="14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4"/>
  </r>
  <r>
    <x v="8"/>
    <s v="S09_2020_9"/>
    <x v="2"/>
    <s v="Maintenance"/>
    <x v="8"/>
    <s v="Rinon"/>
    <x v="1"/>
    <x v="19"/>
    <x v="14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4"/>
  </r>
  <r>
    <x v="9"/>
    <s v="S10_2020_9"/>
    <x v="2"/>
    <s v="Maintenance"/>
    <x v="9"/>
    <s v="Alain"/>
    <x v="7"/>
    <x v="19"/>
    <x v="14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4"/>
  </r>
  <r>
    <x v="10"/>
    <s v="S11_2020_9"/>
    <x v="0"/>
    <s v="Transversal"/>
    <x v="10"/>
    <s v="Raoul"/>
    <x v="8"/>
    <x v="19"/>
    <x v="14"/>
    <d v="2020-09-25T00:00:00"/>
    <n v="270500"/>
    <n v="233794"/>
    <n v="275229"/>
    <n v="17511"/>
    <n v="13341"/>
    <n v="0"/>
    <n v="11"/>
    <n v="2752.29"/>
    <n v="2000"/>
    <n v="272477"/>
    <n v="6000"/>
    <m/>
    <n v="275229"/>
    <n v="41284"/>
    <x v="1"/>
    <x v="0"/>
    <x v="4"/>
    <x v="4"/>
  </r>
  <r>
    <x v="11"/>
    <s v="S12_2020_9"/>
    <x v="0"/>
    <s v="Transversal"/>
    <x v="11"/>
    <s v="Benedictine"/>
    <x v="9"/>
    <x v="19"/>
    <x v="14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4"/>
  </r>
  <r>
    <x v="12"/>
    <s v="S13_2020_9"/>
    <x v="1"/>
    <s v="Transversal"/>
    <x v="12"/>
    <s v="Herizo"/>
    <x v="10"/>
    <x v="19"/>
    <x v="14"/>
    <d v="2020-07-27T00:00:00"/>
    <n v="2100000"/>
    <n v="2548500"/>
    <n v="2548500"/>
    <n v="0"/>
    <n v="0"/>
    <n v="0"/>
    <n v="0"/>
    <n v="16000"/>
    <n v="432500"/>
    <n v="2532500"/>
    <n v="4000"/>
    <m/>
    <n v="1904000"/>
    <n v="240000"/>
    <x v="1"/>
    <x v="0"/>
    <x v="0"/>
    <x v="4"/>
  </r>
  <r>
    <x v="13"/>
    <s v="S14_2020_9"/>
    <x v="0"/>
    <s v="Transversal"/>
    <x v="13"/>
    <s v="Rene"/>
    <x v="8"/>
    <x v="19"/>
    <x v="14"/>
    <d v="2020-02-20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4"/>
  </r>
  <r>
    <x v="14"/>
    <s v="S15_2020_9"/>
    <x v="2"/>
    <s v="Transversal"/>
    <x v="14"/>
    <s v="Chrisos"/>
    <x v="11"/>
    <x v="19"/>
    <x v="14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4"/>
  </r>
  <r>
    <x v="15"/>
    <s v="S16_2020_9"/>
    <x v="0"/>
    <s v="Maintenance"/>
    <x v="15"/>
    <s v="Victorien"/>
    <x v="7"/>
    <x v="19"/>
    <x v="14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4"/>
  </r>
  <r>
    <x v="16"/>
    <s v="S17_2020_9"/>
    <x v="0"/>
    <s v="Transversal"/>
    <x v="16"/>
    <s v="Velonasy"/>
    <x v="8"/>
    <x v="19"/>
    <x v="14"/>
    <d v="2020-09-25T00:00:00"/>
    <n v="266700"/>
    <n v="233794"/>
    <n v="271381"/>
    <n v="17511"/>
    <n v="13341"/>
    <n v="0"/>
    <n v="7"/>
    <n v="2713.81"/>
    <n v="2000"/>
    <n v="268667"/>
    <n v="6000"/>
    <m/>
    <n v="271381"/>
    <n v="40707"/>
    <x v="1"/>
    <x v="0"/>
    <x v="4"/>
    <x v="4"/>
  </r>
  <r>
    <x v="17"/>
    <s v="S18_2020_9"/>
    <x v="0"/>
    <s v="Construction"/>
    <x v="17"/>
    <s v="Bienvenu"/>
    <x v="5"/>
    <x v="19"/>
    <x v="14"/>
    <d v="2020-07-27T00:00:00"/>
    <n v="300000"/>
    <n v="305050"/>
    <n v="305050"/>
    <n v="0"/>
    <n v="0"/>
    <n v="0"/>
    <n v="0"/>
    <n v="3050.5"/>
    <n v="2000"/>
    <n v="302000"/>
    <n v="2000"/>
    <m/>
    <n v="305050"/>
    <n v="45758"/>
    <x v="3"/>
    <x v="6"/>
    <x v="1"/>
    <x v="4"/>
  </r>
  <r>
    <x v="18"/>
    <s v="S19_2020_9"/>
    <x v="0"/>
    <s v="Maintenance"/>
    <x v="18"/>
    <s v="Faly"/>
    <x v="7"/>
    <x v="19"/>
    <x v="14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4"/>
  </r>
  <r>
    <x v="19"/>
    <s v="S20_2020_9"/>
    <x v="3"/>
    <s v="Maintenance"/>
    <x v="19"/>
    <s v="Manitrasina"/>
    <x v="1"/>
    <x v="20"/>
    <x v="14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4"/>
  </r>
  <r>
    <x v="20"/>
    <s v="S21_2020_9"/>
    <x v="0"/>
    <s v="Construction"/>
    <x v="20"/>
    <s v="Brenda"/>
    <x v="12"/>
    <x v="19"/>
    <x v="14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4"/>
  </r>
  <r>
    <x v="21"/>
    <s v="S22_2020_9"/>
    <x v="0"/>
    <s v="Construction"/>
    <x v="21"/>
    <s v="Beatrice"/>
    <x v="5"/>
    <x v="19"/>
    <x v="14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4"/>
  </r>
  <r>
    <x v="22"/>
    <s v="S23_2020_9"/>
    <x v="2"/>
    <s v="Transversal"/>
    <x v="22"/>
    <s v="Boris"/>
    <x v="13"/>
    <x v="19"/>
    <x v="14"/>
    <d v="2020-06-27T00:00:00"/>
    <n v="550000"/>
    <n v="606061"/>
    <n v="606061"/>
    <n v="0"/>
    <n v="0"/>
    <n v="0"/>
    <n v="0"/>
    <n v="6060.61"/>
    <n v="50000"/>
    <n v="600000"/>
    <n v="0"/>
    <m/>
    <n v="606061"/>
    <n v="90909"/>
    <x v="7"/>
    <x v="8"/>
    <x v="3"/>
    <x v="4"/>
  </r>
  <r>
    <x v="23"/>
    <s v="S24_2020_9"/>
    <x v="2"/>
    <s v="Transversal"/>
    <x v="23"/>
    <s v="Christophe"/>
    <x v="14"/>
    <x v="21"/>
    <x v="14"/>
    <d v="2020-07-28T00:00:00"/>
    <n v="450000"/>
    <n v="479798"/>
    <n v="479798"/>
    <n v="0"/>
    <n v="0"/>
    <n v="0"/>
    <n v="0"/>
    <n v="4797.9799999999996"/>
    <n v="25000"/>
    <n v="475000"/>
    <n v="0"/>
    <m/>
    <n v="479798"/>
    <n v="71970"/>
    <x v="8"/>
    <x v="0"/>
    <x v="3"/>
    <x v="4"/>
  </r>
  <r>
    <x v="24"/>
    <s v="S25_2020_9"/>
    <x v="2"/>
    <s v="Maintenance"/>
    <x v="24"/>
    <s v="Doris"/>
    <x v="1"/>
    <x v="21"/>
    <x v="14"/>
    <d v="2020-07-28T00:00:00"/>
    <n v="420000"/>
    <n v="439394"/>
    <n v="439394"/>
    <n v="0"/>
    <n v="0"/>
    <n v="0"/>
    <n v="0"/>
    <n v="4393.9399999999996"/>
    <n v="15000"/>
    <n v="435000"/>
    <n v="2000"/>
    <m/>
    <n v="439394"/>
    <n v="65909"/>
    <x v="8"/>
    <x v="1"/>
    <x v="1"/>
    <x v="4"/>
  </r>
  <r>
    <x v="25"/>
    <s v="S26_2020_9"/>
    <x v="0"/>
    <s v="Construction"/>
    <x v="25"/>
    <s v="Anicet"/>
    <x v="5"/>
    <x v="21"/>
    <x v="14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4"/>
  </r>
  <r>
    <x v="26"/>
    <s v="S27_2020_9"/>
    <x v="2"/>
    <s v="Construction"/>
    <x v="26"/>
    <s v="Estheline"/>
    <x v="12"/>
    <x v="21"/>
    <x v="14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9"/>
    <x v="1"/>
    <x v="4"/>
  </r>
  <r>
    <x v="27"/>
    <s v="S28_2020_9"/>
    <x v="2"/>
    <s v="Construction"/>
    <x v="27"/>
    <s v="Rodin"/>
    <x v="1"/>
    <x v="21"/>
    <x v="14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4"/>
  </r>
  <r>
    <x v="29"/>
    <s v="S30_2020_9"/>
    <x v="2"/>
    <s v="Transversal"/>
    <x v="29"/>
    <s v="Marie Jeanne"/>
    <x v="9"/>
    <x v="21"/>
    <x v="14"/>
    <d v="2020-07-28T00:00:00"/>
    <n v="80000"/>
    <n v="82828"/>
    <n v="82828"/>
    <n v="0"/>
    <n v="0"/>
    <n v="0"/>
    <n v="0"/>
    <n v="828.28"/>
    <n v="2000"/>
    <n v="82000"/>
    <n v="0"/>
    <m/>
    <n v="82828"/>
    <n v="12424"/>
    <x v="8"/>
    <x v="0"/>
    <x v="5"/>
    <x v="4"/>
  </r>
  <r>
    <x v="30"/>
    <s v="S31_2020_9"/>
    <x v="2"/>
    <s v="Maintenance"/>
    <x v="30"/>
    <s v="Fabiolain"/>
    <x v="1"/>
    <x v="20"/>
    <x v="14"/>
    <d v="2020-09-30T00:00:00"/>
    <e v="#REF!"/>
    <n v="156566"/>
    <e v="#REF!"/>
    <n v="0"/>
    <n v="0"/>
    <n v="0"/>
    <n v="0"/>
    <e v="#REF!"/>
    <e v="#REF!"/>
    <e v="#REF!"/>
    <n v="2000"/>
    <m/>
    <e v="#REF!"/>
    <e v="#REF!"/>
    <x v="9"/>
    <x v="11"/>
    <x v="1"/>
    <x v="4"/>
  </r>
  <r>
    <x v="0"/>
    <s v="S01_2020_10"/>
    <x v="0"/>
    <s v="Maintenance"/>
    <x v="0"/>
    <s v="Gaetan"/>
    <x v="0"/>
    <x v="22"/>
    <x v="15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5"/>
  </r>
  <r>
    <x v="1"/>
    <s v="S02_2020_10"/>
    <x v="0"/>
    <s v="Maintenance"/>
    <x v="1"/>
    <s v="Luo"/>
    <x v="1"/>
    <x v="22"/>
    <x v="15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5"/>
  </r>
  <r>
    <x v="2"/>
    <s v="S03_2020_10"/>
    <x v="0"/>
    <s v="Maintenance"/>
    <x v="2"/>
    <s v="Tsilavina"/>
    <x v="1"/>
    <x v="22"/>
    <x v="15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5"/>
  </r>
  <r>
    <x v="4"/>
    <s v="S05_2020_10"/>
    <x v="0"/>
    <s v="Transversal"/>
    <x v="4"/>
    <s v="Florentin"/>
    <x v="3"/>
    <x v="22"/>
    <x v="15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5"/>
  </r>
  <r>
    <x v="5"/>
    <s v="S06_2020_10"/>
    <x v="1"/>
    <s v="Transversal"/>
    <x v="5"/>
    <s v="Michel"/>
    <x v="4"/>
    <x v="22"/>
    <x v="15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5"/>
  </r>
  <r>
    <x v="7"/>
    <s v="S08_2020_10"/>
    <x v="0"/>
    <s v="Transversal"/>
    <x v="7"/>
    <s v="Onja"/>
    <x v="6"/>
    <x v="22"/>
    <x v="15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5"/>
  </r>
  <r>
    <x v="8"/>
    <s v="S09_2020_10"/>
    <x v="2"/>
    <s v="Maintenance"/>
    <x v="8"/>
    <s v="Rinon"/>
    <x v="1"/>
    <x v="23"/>
    <x v="15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5"/>
  </r>
  <r>
    <x v="9"/>
    <s v="S10_2020_10"/>
    <x v="2"/>
    <s v="Maintenance"/>
    <x v="9"/>
    <s v="Alain"/>
    <x v="7"/>
    <x v="23"/>
    <x v="15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5"/>
  </r>
  <r>
    <x v="10"/>
    <s v="S11_2020_10"/>
    <x v="0"/>
    <s v="Transversal"/>
    <x v="10"/>
    <s v="Raoul"/>
    <x v="8"/>
    <x v="22"/>
    <x v="15"/>
    <d v="2020-03-27T00:00:00"/>
    <n v="302900"/>
    <n v="233794"/>
    <n v="307940"/>
    <n v="17510"/>
    <n v="13341"/>
    <n v="0"/>
    <n v="45"/>
    <n v="3079.4"/>
    <n v="2000"/>
    <n v="304861"/>
    <n v="6000"/>
    <m/>
    <n v="307940"/>
    <n v="46191"/>
    <x v="1"/>
    <x v="0"/>
    <x v="4"/>
    <x v="5"/>
  </r>
  <r>
    <x v="11"/>
    <s v="S12_2020_10"/>
    <x v="0"/>
    <s v="Transversal"/>
    <x v="11"/>
    <s v="Benedictine"/>
    <x v="9"/>
    <x v="22"/>
    <x v="15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5"/>
  </r>
  <r>
    <x v="12"/>
    <s v="S13_2020_10"/>
    <x v="1"/>
    <s v="Transversal"/>
    <x v="12"/>
    <s v="Herizo"/>
    <x v="10"/>
    <x v="23"/>
    <x v="15"/>
    <d v="2020-07-27T00:00:00"/>
    <n v="2100000"/>
    <n v="2548500"/>
    <n v="2548500"/>
    <n v="0"/>
    <n v="0"/>
    <n v="0"/>
    <n v="0"/>
    <n v="16000"/>
    <n v="432500"/>
    <n v="2532500"/>
    <n v="4000"/>
    <m/>
    <n v="1904000"/>
    <n v="240000"/>
    <x v="1"/>
    <x v="0"/>
    <x v="0"/>
    <x v="5"/>
  </r>
  <r>
    <x v="13"/>
    <s v="S14_2020_10"/>
    <x v="0"/>
    <s v="Transversal"/>
    <x v="13"/>
    <s v="Rene"/>
    <x v="8"/>
    <x v="22"/>
    <x v="15"/>
    <d v="2020-02-20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5"/>
  </r>
  <r>
    <x v="14"/>
    <s v="S15_2020_10"/>
    <x v="2"/>
    <s v="Transversal"/>
    <x v="14"/>
    <s v="Chrisos"/>
    <x v="11"/>
    <x v="23"/>
    <x v="15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5"/>
  </r>
  <r>
    <x v="15"/>
    <s v="S16_2020_10"/>
    <x v="0"/>
    <s v="Maintenance"/>
    <x v="15"/>
    <s v="Victorien"/>
    <x v="7"/>
    <x v="22"/>
    <x v="15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5"/>
  </r>
  <r>
    <x v="16"/>
    <s v="S17_2020_10"/>
    <x v="0"/>
    <s v="Transversal"/>
    <x v="16"/>
    <s v="Velonasy"/>
    <x v="8"/>
    <x v="22"/>
    <x v="15"/>
    <d v="2020-10-29T00:00:00"/>
    <n v="302900"/>
    <n v="233794"/>
    <n v="307941"/>
    <n v="17511"/>
    <n v="13341"/>
    <n v="0"/>
    <n v="45"/>
    <n v="3079.41"/>
    <n v="2000"/>
    <n v="304862"/>
    <n v="6000"/>
    <m/>
    <n v="307941"/>
    <n v="46191"/>
    <x v="1"/>
    <x v="0"/>
    <x v="4"/>
    <x v="5"/>
  </r>
  <r>
    <x v="17"/>
    <s v="S18_2020_10"/>
    <x v="0"/>
    <s v="Construction"/>
    <x v="17"/>
    <s v="Bienvenu"/>
    <x v="5"/>
    <x v="22"/>
    <x v="15"/>
    <d v="2020-07-27T00:00:00"/>
    <n v="300000"/>
    <n v="305050"/>
    <n v="305050"/>
    <n v="0"/>
    <n v="0"/>
    <n v="0"/>
    <n v="0"/>
    <n v="3050.5"/>
    <n v="2000"/>
    <n v="302000"/>
    <n v="2000"/>
    <m/>
    <n v="305050"/>
    <n v="45758"/>
    <x v="3"/>
    <x v="6"/>
    <x v="1"/>
    <x v="5"/>
  </r>
  <r>
    <x v="18"/>
    <s v="S19_2020_10"/>
    <x v="0"/>
    <s v="Maintenance"/>
    <x v="18"/>
    <s v="Faly"/>
    <x v="7"/>
    <x v="22"/>
    <x v="15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5"/>
  </r>
  <r>
    <x v="19"/>
    <s v="S20_2020_10"/>
    <x v="3"/>
    <s v="Maintenance"/>
    <x v="19"/>
    <s v="Manitrasina"/>
    <x v="1"/>
    <x v="22"/>
    <x v="15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5"/>
  </r>
  <r>
    <x v="20"/>
    <s v="S21_2020_10"/>
    <x v="0"/>
    <s v="Construction"/>
    <x v="20"/>
    <s v="Brenda"/>
    <x v="12"/>
    <x v="22"/>
    <x v="15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5"/>
  </r>
  <r>
    <x v="21"/>
    <s v="S22_2020_10"/>
    <x v="0"/>
    <s v="Construction"/>
    <x v="21"/>
    <s v="Beatrice"/>
    <x v="5"/>
    <x v="22"/>
    <x v="15"/>
    <d v="2020-07-27T00:00:00"/>
    <n v="300000"/>
    <n v="305051"/>
    <n v="305051"/>
    <n v="0"/>
    <n v="0"/>
    <n v="0"/>
    <n v="0"/>
    <n v="3050.51"/>
    <n v="2000"/>
    <n v="302000"/>
    <n v="0"/>
    <m/>
    <n v="305051"/>
    <n v="45758"/>
    <x v="6"/>
    <x v="7"/>
    <x v="1"/>
    <x v="5"/>
  </r>
  <r>
    <x v="22"/>
    <s v="S23_2020_10"/>
    <x v="2"/>
    <s v="Transversal"/>
    <x v="22"/>
    <s v="Boris"/>
    <x v="13"/>
    <x v="22"/>
    <x v="15"/>
    <d v="2020-06-27T00:00:00"/>
    <n v="550000"/>
    <n v="606061"/>
    <n v="606061"/>
    <n v="0"/>
    <n v="0"/>
    <n v="0"/>
    <n v="0"/>
    <n v="6060.61"/>
    <n v="50000"/>
    <n v="600000"/>
    <n v="0"/>
    <m/>
    <n v="606061"/>
    <n v="90909"/>
    <x v="7"/>
    <x v="8"/>
    <x v="3"/>
    <x v="5"/>
  </r>
  <r>
    <x v="23"/>
    <s v="S24_2020_10"/>
    <x v="2"/>
    <s v="Transversal"/>
    <x v="23"/>
    <s v="Christophe"/>
    <x v="14"/>
    <x v="24"/>
    <x v="15"/>
    <d v="2020-07-28T00:00:00"/>
    <n v="450000"/>
    <n v="479798"/>
    <n v="479798"/>
    <n v="0"/>
    <n v="0"/>
    <n v="0"/>
    <n v="0"/>
    <n v="4797.9799999999996"/>
    <n v="25000"/>
    <n v="475000"/>
    <n v="0"/>
    <m/>
    <n v="479798"/>
    <n v="71970"/>
    <x v="8"/>
    <x v="0"/>
    <x v="3"/>
    <x v="5"/>
  </r>
  <r>
    <x v="24"/>
    <s v="S25_2020_10"/>
    <x v="2"/>
    <s v="Maintenance"/>
    <x v="24"/>
    <s v="Doris"/>
    <x v="1"/>
    <x v="24"/>
    <x v="15"/>
    <d v="2020-07-28T00:00:00"/>
    <n v="420000"/>
    <n v="439394"/>
    <n v="439394"/>
    <n v="0"/>
    <n v="0"/>
    <n v="0"/>
    <n v="0"/>
    <n v="4393.9399999999996"/>
    <n v="15000"/>
    <n v="435000"/>
    <n v="2000"/>
    <m/>
    <n v="439394"/>
    <n v="65909"/>
    <x v="8"/>
    <x v="1"/>
    <x v="1"/>
    <x v="5"/>
  </r>
  <r>
    <x v="25"/>
    <s v="S26_2020_10"/>
    <x v="0"/>
    <s v="Construction"/>
    <x v="25"/>
    <s v="Anicet"/>
    <x v="5"/>
    <x v="24"/>
    <x v="15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5"/>
  </r>
  <r>
    <x v="27"/>
    <s v="S28_2020_10"/>
    <x v="2"/>
    <s v="Construction"/>
    <x v="27"/>
    <s v="Rodin"/>
    <x v="1"/>
    <x v="24"/>
    <x v="15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5"/>
  </r>
  <r>
    <x v="29"/>
    <s v="S30_2020_10"/>
    <x v="2"/>
    <s v="Transversal"/>
    <x v="29"/>
    <s v="Marie Jeanne"/>
    <x v="9"/>
    <x v="24"/>
    <x v="15"/>
    <d v="2020-07-28T00:00:00"/>
    <n v="80000"/>
    <n v="82828"/>
    <n v="82828"/>
    <n v="0"/>
    <n v="0"/>
    <n v="0"/>
    <n v="0"/>
    <n v="828.28"/>
    <n v="2000"/>
    <n v="82000"/>
    <n v="0"/>
    <m/>
    <n v="82828"/>
    <n v="12424"/>
    <x v="8"/>
    <x v="0"/>
    <x v="5"/>
    <x v="5"/>
  </r>
  <r>
    <x v="30"/>
    <s v="S31_2020_10"/>
    <x v="2"/>
    <s v="Maintenance"/>
    <x v="30"/>
    <s v="Fabiolain"/>
    <x v="1"/>
    <x v="25"/>
    <x v="15"/>
    <d v="2020-10-30T00:00:00"/>
    <e v="#REF!"/>
    <n v="174747"/>
    <e v="#REF!"/>
    <n v="0"/>
    <n v="0"/>
    <n v="0"/>
    <n v="0"/>
    <e v="#REF!"/>
    <e v="#REF!"/>
    <e v="#REF!"/>
    <n v="2000"/>
    <m/>
    <e v="#REF!"/>
    <e v="#REF!"/>
    <x v="9"/>
    <x v="11"/>
    <x v="1"/>
    <x v="5"/>
  </r>
  <r>
    <x v="31"/>
    <s v="S32_2020_10"/>
    <x v="0"/>
    <s v="Maintenance"/>
    <x v="31"/>
    <s v="Francot"/>
    <x v="1"/>
    <x v="25"/>
    <x v="15"/>
    <d v="2020-10-30T00:00:00"/>
    <n v="7718"/>
    <n v="9816"/>
    <n v="9816"/>
    <n v="0"/>
    <n v="0"/>
    <n v="0"/>
    <n v="0"/>
    <n v="98.16"/>
    <n v="2000"/>
    <n v="9718"/>
    <n v="2000"/>
    <m/>
    <n v="9816"/>
    <n v="1472"/>
    <x v="10"/>
    <x v="12"/>
    <x v="1"/>
    <x v="5"/>
  </r>
  <r>
    <x v="0"/>
    <s v="S01_2020_11"/>
    <x v="0"/>
    <s v="Maintenance"/>
    <x v="0"/>
    <s v="Gaetan"/>
    <x v="0"/>
    <x v="26"/>
    <x v="16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5"/>
  </r>
  <r>
    <x v="1"/>
    <s v="S02_2020_11"/>
    <x v="0"/>
    <s v="Maintenance"/>
    <x v="1"/>
    <s v="Luo"/>
    <x v="1"/>
    <x v="26"/>
    <x v="16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5"/>
  </r>
  <r>
    <x v="2"/>
    <s v="S03_2020_11"/>
    <x v="0"/>
    <s v="Maintenance"/>
    <x v="2"/>
    <s v="Tsilavina"/>
    <x v="1"/>
    <x v="26"/>
    <x v="16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5"/>
  </r>
  <r>
    <x v="4"/>
    <s v="S05_2020_11"/>
    <x v="0"/>
    <s v="Transversal"/>
    <x v="4"/>
    <s v="Florentin"/>
    <x v="3"/>
    <x v="26"/>
    <x v="16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5"/>
  </r>
  <r>
    <x v="5"/>
    <s v="S06_2020_11"/>
    <x v="1"/>
    <s v="Transversal"/>
    <x v="5"/>
    <s v="Michel"/>
    <x v="4"/>
    <x v="26"/>
    <x v="16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5"/>
  </r>
  <r>
    <x v="7"/>
    <s v="S08_2020_11"/>
    <x v="0"/>
    <s v="Transversal"/>
    <x v="7"/>
    <s v="Onja"/>
    <x v="6"/>
    <x v="26"/>
    <x v="16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5"/>
  </r>
  <r>
    <x v="8"/>
    <s v="S09_2020_11"/>
    <x v="2"/>
    <s v="Maintenance"/>
    <x v="8"/>
    <s v="Rinon"/>
    <x v="1"/>
    <x v="26"/>
    <x v="16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5"/>
  </r>
  <r>
    <x v="9"/>
    <s v="S10_2020_11"/>
    <x v="2"/>
    <s v="Maintenance"/>
    <x v="9"/>
    <s v="Alain"/>
    <x v="7"/>
    <x v="26"/>
    <x v="16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5"/>
  </r>
  <r>
    <x v="10"/>
    <s v="S11_2020_11"/>
    <x v="0"/>
    <s v="Transversal"/>
    <x v="10"/>
    <s v="Raoul"/>
    <x v="8"/>
    <x v="27"/>
    <x v="16"/>
    <d v="2020-11-30T00:00:00"/>
    <n v="264800"/>
    <n v="233794"/>
    <n v="269457"/>
    <n v="17511"/>
    <n v="13341"/>
    <n v="1"/>
    <n v="0"/>
    <n v="2694.57"/>
    <n v="2000"/>
    <n v="266762"/>
    <n v="6000"/>
    <m/>
    <n v="269457"/>
    <n v="40419"/>
    <x v="1"/>
    <x v="0"/>
    <x v="4"/>
    <x v="5"/>
  </r>
  <r>
    <x v="11"/>
    <s v="S12_2020_11"/>
    <x v="0"/>
    <s v="Transversal"/>
    <x v="11"/>
    <s v="Benedictine"/>
    <x v="9"/>
    <x v="26"/>
    <x v="16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5"/>
  </r>
  <r>
    <x v="12"/>
    <s v="S13_2020_11"/>
    <x v="1"/>
    <s v="Transversal"/>
    <x v="12"/>
    <s v="Herizo"/>
    <x v="10"/>
    <x v="26"/>
    <x v="16"/>
    <d v="2020-07-27T00:00:00"/>
    <n v="2100000"/>
    <n v="2548500"/>
    <n v="2548500"/>
    <n v="0"/>
    <n v="0"/>
    <n v="0"/>
    <n v="0"/>
    <n v="16000"/>
    <n v="432500"/>
    <n v="2532500"/>
    <n v="4000"/>
    <m/>
    <n v="1904000"/>
    <n v="240000"/>
    <x v="1"/>
    <x v="0"/>
    <x v="0"/>
    <x v="5"/>
  </r>
  <r>
    <x v="13"/>
    <s v="S14_2020_11"/>
    <x v="0"/>
    <s v="Transversal"/>
    <x v="13"/>
    <s v="Rene"/>
    <x v="8"/>
    <x v="27"/>
    <x v="16"/>
    <d v="2020-11-30T00:00:00"/>
    <n v="302900"/>
    <n v="233794"/>
    <n v="307941"/>
    <n v="17511"/>
    <n v="13341"/>
    <n v="0"/>
    <n v="45"/>
    <n v="3079.41"/>
    <n v="2000"/>
    <n v="304862"/>
    <n v="6000"/>
    <m/>
    <n v="307941"/>
    <n v="46191"/>
    <x v="1"/>
    <x v="0"/>
    <x v="4"/>
    <x v="5"/>
  </r>
  <r>
    <x v="14"/>
    <s v="S15_2020_11"/>
    <x v="2"/>
    <s v="Transversal"/>
    <x v="14"/>
    <s v="Chrisos"/>
    <x v="11"/>
    <x v="26"/>
    <x v="16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5"/>
  </r>
  <r>
    <x v="15"/>
    <s v="S16_2020_11"/>
    <x v="0"/>
    <s v="Maintenance"/>
    <x v="15"/>
    <s v="Victorien"/>
    <x v="7"/>
    <x v="26"/>
    <x v="16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5"/>
  </r>
  <r>
    <x v="16"/>
    <s v="S17_2020_11"/>
    <x v="0"/>
    <s v="Transversal"/>
    <x v="16"/>
    <s v="Velonasy"/>
    <x v="8"/>
    <x v="27"/>
    <x v="16"/>
    <d v="2020-11-30T00:00:00"/>
    <n v="316200"/>
    <n v="233794"/>
    <n v="321411"/>
    <n v="17511"/>
    <n v="13341"/>
    <n v="0"/>
    <n v="59"/>
    <n v="3214.11"/>
    <n v="2000"/>
    <n v="318197"/>
    <n v="6000"/>
    <m/>
    <n v="321411"/>
    <n v="48212"/>
    <x v="1"/>
    <x v="0"/>
    <x v="4"/>
    <x v="5"/>
  </r>
  <r>
    <x v="17"/>
    <s v="S18_2020_11"/>
    <x v="0"/>
    <s v="Construction"/>
    <x v="17"/>
    <s v="Bienvenu"/>
    <x v="5"/>
    <x v="26"/>
    <x v="16"/>
    <d v="2020-07-27T00:00:00"/>
    <n v="300000"/>
    <n v="305050"/>
    <n v="305050"/>
    <n v="0"/>
    <n v="0"/>
    <n v="0"/>
    <n v="0"/>
    <n v="3050.5"/>
    <n v="2000"/>
    <n v="302000"/>
    <n v="2000"/>
    <m/>
    <n v="305050"/>
    <n v="45758"/>
    <x v="3"/>
    <x v="6"/>
    <x v="1"/>
    <x v="5"/>
  </r>
  <r>
    <x v="18"/>
    <s v="S19_2020_11"/>
    <x v="0"/>
    <s v="Maintenance"/>
    <x v="18"/>
    <s v="Faly"/>
    <x v="7"/>
    <x v="26"/>
    <x v="16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5"/>
  </r>
  <r>
    <x v="19"/>
    <s v="S20_2020_11"/>
    <x v="3"/>
    <s v="Maintenance"/>
    <x v="19"/>
    <s v="Manitrasina"/>
    <x v="1"/>
    <x v="26"/>
    <x v="16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5"/>
  </r>
  <r>
    <x v="22"/>
    <s v="S23_2020_11"/>
    <x v="2"/>
    <s v="Transversal"/>
    <x v="22"/>
    <s v="Boris"/>
    <x v="13"/>
    <x v="26"/>
    <x v="16"/>
    <d v="2020-06-27T00:00:00"/>
    <n v="550000"/>
    <n v="606061"/>
    <n v="606061"/>
    <n v="0"/>
    <n v="0"/>
    <n v="0"/>
    <n v="0"/>
    <n v="6060.61"/>
    <n v="50000"/>
    <n v="600000"/>
    <n v="0"/>
    <m/>
    <n v="606061"/>
    <n v="90909"/>
    <x v="7"/>
    <x v="8"/>
    <x v="3"/>
    <x v="5"/>
  </r>
  <r>
    <x v="23"/>
    <s v="S24_2020_11"/>
    <x v="2"/>
    <s v="Transversal"/>
    <x v="23"/>
    <s v="Christophe"/>
    <x v="14"/>
    <x v="26"/>
    <x v="16"/>
    <d v="2020-07-28T00:00:00"/>
    <n v="450000"/>
    <n v="479798"/>
    <n v="479798"/>
    <n v="0"/>
    <n v="0"/>
    <n v="0"/>
    <n v="0"/>
    <n v="4797.9799999999996"/>
    <n v="25000"/>
    <n v="475000"/>
    <n v="0"/>
    <m/>
    <n v="479798"/>
    <n v="71970"/>
    <x v="8"/>
    <x v="0"/>
    <x v="3"/>
    <x v="5"/>
  </r>
  <r>
    <x v="24"/>
    <s v="S25_2020_11"/>
    <x v="2"/>
    <s v="Maintenance"/>
    <x v="24"/>
    <s v="Doris"/>
    <x v="1"/>
    <x v="26"/>
    <x v="16"/>
    <d v="2020-07-28T00:00:00"/>
    <n v="420000"/>
    <n v="439394"/>
    <n v="439394"/>
    <n v="0"/>
    <n v="0"/>
    <n v="0"/>
    <n v="0"/>
    <n v="4393.9399999999996"/>
    <n v="15000"/>
    <n v="435000"/>
    <n v="2000"/>
    <m/>
    <n v="439394"/>
    <n v="65909"/>
    <x v="8"/>
    <x v="1"/>
    <x v="1"/>
    <x v="5"/>
  </r>
  <r>
    <x v="25"/>
    <s v="S26_2020_11"/>
    <x v="0"/>
    <s v="Construction"/>
    <x v="25"/>
    <s v="Anicet"/>
    <x v="5"/>
    <x v="26"/>
    <x v="16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5"/>
  </r>
  <r>
    <x v="27"/>
    <s v="S28_2020_11"/>
    <x v="2"/>
    <s v="Construction"/>
    <x v="27"/>
    <s v="Rodin"/>
    <x v="1"/>
    <x v="26"/>
    <x v="16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5"/>
  </r>
  <r>
    <x v="29"/>
    <s v="S30_2020_11"/>
    <x v="2"/>
    <s v="Transversal"/>
    <x v="29"/>
    <s v="Marie Jeanne"/>
    <x v="9"/>
    <x v="26"/>
    <x v="16"/>
    <d v="2020-07-28T00:00:00"/>
    <n v="80000"/>
    <n v="82828"/>
    <n v="82828"/>
    <n v="0"/>
    <n v="0"/>
    <n v="0"/>
    <n v="0"/>
    <n v="828.28"/>
    <n v="2000"/>
    <n v="82000"/>
    <n v="0"/>
    <m/>
    <n v="82828"/>
    <n v="12424"/>
    <x v="8"/>
    <x v="0"/>
    <x v="5"/>
    <x v="5"/>
  </r>
  <r>
    <x v="30"/>
    <s v="S31_2020_11"/>
    <x v="2"/>
    <s v="Maintenance"/>
    <x v="30"/>
    <s v="Fabiolain"/>
    <x v="1"/>
    <x v="27"/>
    <x v="16"/>
    <d v="2020-11-30T00:00:00"/>
    <e v="#REF!"/>
    <n v="138384"/>
    <e v="#REF!"/>
    <n v="0"/>
    <n v="0"/>
    <n v="0"/>
    <n v="0"/>
    <e v="#REF!"/>
    <e v="#REF!"/>
    <e v="#REF!"/>
    <n v="2000"/>
    <m/>
    <e v="#REF!"/>
    <e v="#REF!"/>
    <x v="9"/>
    <x v="11"/>
    <x v="1"/>
    <x v="5"/>
  </r>
  <r>
    <x v="31"/>
    <s v="S32_2020_11"/>
    <x v="0"/>
    <s v="Maintenance"/>
    <x v="31"/>
    <s v="Francot"/>
    <x v="1"/>
    <x v="26"/>
    <x v="16"/>
    <d v="2020-11-27T00:00:00"/>
    <n v="7718"/>
    <n v="9816"/>
    <n v="9816"/>
    <n v="0"/>
    <n v="0"/>
    <n v="0"/>
    <n v="0"/>
    <n v="98.16"/>
    <n v="2000"/>
    <n v="9718"/>
    <n v="2000"/>
    <m/>
    <n v="9816"/>
    <n v="1472"/>
    <x v="10"/>
    <x v="12"/>
    <x v="1"/>
    <x v="5"/>
  </r>
  <r>
    <x v="32"/>
    <s v="S33_2020_11"/>
    <x v="0"/>
    <s v="Maintenance"/>
    <x v="32"/>
    <s v="Perolin"/>
    <x v="1"/>
    <x v="27"/>
    <x v="16"/>
    <d v="2020-11-30T00:00:00"/>
    <n v="160000"/>
    <n v="163636"/>
    <n v="163636"/>
    <n v="0"/>
    <n v="0"/>
    <n v="0"/>
    <n v="0"/>
    <n v="1636.36"/>
    <n v="2000"/>
    <n v="162000"/>
    <n v="2000"/>
    <m/>
    <n v="163636"/>
    <n v="24545"/>
    <x v="11"/>
    <x v="0"/>
    <x v="1"/>
    <x v="5"/>
  </r>
  <r>
    <x v="0"/>
    <s v="S01_2020_12"/>
    <x v="0"/>
    <s v="Maintenance"/>
    <x v="0"/>
    <s v="Gaetan"/>
    <x v="0"/>
    <x v="28"/>
    <x v="17"/>
    <d v="2020-02-20T00:00:00"/>
    <n v="940000"/>
    <n v="1090909"/>
    <n v="1090909"/>
    <n v="0"/>
    <n v="0"/>
    <n v="0"/>
    <n v="0"/>
    <n v="10909.09"/>
    <n v="140000"/>
    <n v="1080000"/>
    <n v="6000"/>
    <m/>
    <n v="1090909"/>
    <n v="163636"/>
    <x v="0"/>
    <x v="0"/>
    <x v="0"/>
    <x v="5"/>
  </r>
  <r>
    <x v="1"/>
    <s v="S02_2020_12"/>
    <x v="0"/>
    <s v="Maintenance"/>
    <x v="1"/>
    <s v="Luo"/>
    <x v="1"/>
    <x v="28"/>
    <x v="17"/>
    <d v="2020-02-20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1"/>
    <x v="1"/>
    <x v="5"/>
  </r>
  <r>
    <x v="2"/>
    <s v="S03_2020_12"/>
    <x v="0"/>
    <s v="Maintenance"/>
    <x v="2"/>
    <s v="Tsilavina"/>
    <x v="1"/>
    <x v="28"/>
    <x v="17"/>
    <d v="2020-02-20T00:00:00"/>
    <n v="330000"/>
    <n v="335354"/>
    <n v="335354"/>
    <n v="0"/>
    <n v="0"/>
    <n v="0"/>
    <n v="0"/>
    <n v="3353.54"/>
    <n v="2000"/>
    <n v="332000"/>
    <n v="0"/>
    <m/>
    <n v="335354"/>
    <n v="50303"/>
    <x v="0"/>
    <x v="2"/>
    <x v="1"/>
    <x v="5"/>
  </r>
  <r>
    <x v="4"/>
    <s v="S05_2020_12"/>
    <x v="0"/>
    <s v="Transversal"/>
    <x v="4"/>
    <s v="Florentin"/>
    <x v="3"/>
    <x v="28"/>
    <x v="17"/>
    <d v="2020-02-20T00:00:00"/>
    <n v="480000"/>
    <n v="512626"/>
    <n v="512626"/>
    <n v="0"/>
    <n v="0"/>
    <n v="0"/>
    <n v="0"/>
    <n v="5126.26"/>
    <n v="27500"/>
    <n v="507500"/>
    <n v="4000"/>
    <m/>
    <n v="512626"/>
    <n v="76894"/>
    <x v="1"/>
    <x v="0"/>
    <x v="1"/>
    <x v="5"/>
  </r>
  <r>
    <x v="5"/>
    <s v="S06_2020_12"/>
    <x v="1"/>
    <s v="Transversal"/>
    <x v="5"/>
    <s v="Michel"/>
    <x v="4"/>
    <x v="28"/>
    <x v="17"/>
    <d v="2020-02-20T00:00:00"/>
    <n v="480000"/>
    <n v="510101"/>
    <n v="510101"/>
    <n v="0"/>
    <n v="0"/>
    <n v="0"/>
    <n v="0"/>
    <n v="5101.01"/>
    <n v="25000"/>
    <n v="505000"/>
    <n v="6000"/>
    <m/>
    <n v="510101"/>
    <n v="76515"/>
    <x v="1"/>
    <x v="1"/>
    <x v="2"/>
    <x v="5"/>
  </r>
  <r>
    <x v="7"/>
    <s v="S08_2020_12"/>
    <x v="0"/>
    <s v="Transversal"/>
    <x v="7"/>
    <s v="Onja"/>
    <x v="6"/>
    <x v="28"/>
    <x v="17"/>
    <d v="2019-08-26T00:00:00"/>
    <n v="600000"/>
    <n v="669192"/>
    <n v="669192"/>
    <n v="0"/>
    <n v="0"/>
    <n v="0"/>
    <n v="0"/>
    <n v="6691.92"/>
    <n v="62500"/>
    <n v="662500"/>
    <n v="0"/>
    <m/>
    <n v="669192"/>
    <n v="100379"/>
    <x v="2"/>
    <x v="0"/>
    <x v="0"/>
    <x v="5"/>
  </r>
  <r>
    <x v="8"/>
    <s v="S09_2020_12"/>
    <x v="2"/>
    <s v="Maintenance"/>
    <x v="8"/>
    <s v="Rinon"/>
    <x v="1"/>
    <x v="28"/>
    <x v="17"/>
    <d v="2020-02-20T00:00:00"/>
    <n v="350000"/>
    <n v="355556"/>
    <n v="355556"/>
    <n v="0"/>
    <n v="0"/>
    <n v="0"/>
    <n v="0"/>
    <n v="3555.56"/>
    <n v="2000"/>
    <n v="352000"/>
    <n v="2000"/>
    <m/>
    <n v="355556"/>
    <n v="53333"/>
    <x v="1"/>
    <x v="1"/>
    <x v="1"/>
    <x v="5"/>
  </r>
  <r>
    <x v="9"/>
    <s v="S10_2020_12"/>
    <x v="2"/>
    <s v="Maintenance"/>
    <x v="9"/>
    <s v="Alain"/>
    <x v="7"/>
    <x v="28"/>
    <x v="17"/>
    <d v="2020-02-20T00:00:00"/>
    <n v="330000"/>
    <n v="335354"/>
    <n v="335354"/>
    <n v="0"/>
    <n v="0"/>
    <n v="0"/>
    <n v="0"/>
    <n v="3353.54"/>
    <n v="2000"/>
    <n v="332000"/>
    <n v="2000"/>
    <m/>
    <n v="335354"/>
    <n v="50303"/>
    <x v="1"/>
    <x v="0"/>
    <x v="3"/>
    <x v="5"/>
  </r>
  <r>
    <x v="10"/>
    <s v="S11_2020_12"/>
    <x v="0"/>
    <s v="Transversal"/>
    <x v="10"/>
    <s v="Raoul"/>
    <x v="8"/>
    <x v="29"/>
    <x v="17"/>
    <d v="2020-12-21T00:00:00"/>
    <n v="321000"/>
    <n v="233794"/>
    <n v="326222"/>
    <n v="17511"/>
    <n v="13341"/>
    <n v="1"/>
    <n v="59"/>
    <n v="3262.22"/>
    <n v="2000"/>
    <n v="322960"/>
    <n v="6000"/>
    <m/>
    <n v="326222"/>
    <n v="48933"/>
    <x v="1"/>
    <x v="0"/>
    <x v="4"/>
    <x v="5"/>
  </r>
  <r>
    <x v="11"/>
    <s v="S12_2020_12"/>
    <x v="0"/>
    <s v="Transversal"/>
    <x v="11"/>
    <s v="Benedictine"/>
    <x v="9"/>
    <x v="28"/>
    <x v="17"/>
    <d v="2020-02-20T00:00:00"/>
    <n v="68000"/>
    <n v="70707"/>
    <n v="70707"/>
    <n v="0"/>
    <n v="0"/>
    <n v="0"/>
    <n v="0"/>
    <n v="707.07"/>
    <n v="2000"/>
    <n v="70000"/>
    <n v="6000"/>
    <m/>
    <n v="70707"/>
    <n v="10606"/>
    <x v="1"/>
    <x v="0"/>
    <x v="5"/>
    <x v="5"/>
  </r>
  <r>
    <x v="12"/>
    <s v="S13_2020_12"/>
    <x v="1"/>
    <s v="Transversal"/>
    <x v="12"/>
    <s v="Herizo"/>
    <x v="10"/>
    <x v="28"/>
    <x v="17"/>
    <d v="2020-07-27T00:00:00"/>
    <n v="2100000"/>
    <n v="2548500"/>
    <n v="2548500"/>
    <n v="0"/>
    <n v="0"/>
    <n v="0"/>
    <n v="0"/>
    <n v="16000"/>
    <n v="432500"/>
    <n v="2532500"/>
    <n v="4000"/>
    <m/>
    <n v="1904000"/>
    <n v="240000"/>
    <x v="1"/>
    <x v="0"/>
    <x v="0"/>
    <x v="5"/>
  </r>
  <r>
    <x v="13"/>
    <s v="S14_2020_12"/>
    <x v="0"/>
    <s v="Transversal"/>
    <x v="13"/>
    <s v="Rene"/>
    <x v="8"/>
    <x v="29"/>
    <x v="17"/>
    <d v="2020-12-21T00:00:00"/>
    <n v="335300"/>
    <n v="233794"/>
    <n v="340653"/>
    <n v="17511"/>
    <n v="13341"/>
    <n v="0"/>
    <n v="79"/>
    <n v="3406.53"/>
    <n v="2000"/>
    <n v="337246"/>
    <n v="6000"/>
    <m/>
    <n v="340653"/>
    <n v="51098"/>
    <x v="1"/>
    <x v="0"/>
    <x v="4"/>
    <x v="5"/>
  </r>
  <r>
    <x v="14"/>
    <s v="S15_2020_12"/>
    <x v="2"/>
    <s v="Transversal"/>
    <x v="14"/>
    <s v="Chrisos"/>
    <x v="11"/>
    <x v="28"/>
    <x v="17"/>
    <d v="2020-02-20T00:00:00"/>
    <n v="830000"/>
    <n v="959596"/>
    <n v="959596"/>
    <n v="0"/>
    <n v="0"/>
    <n v="0"/>
    <n v="0"/>
    <n v="9595.9599999999991"/>
    <n v="120000"/>
    <n v="950000"/>
    <n v="0"/>
    <m/>
    <n v="959596"/>
    <n v="143939"/>
    <x v="1"/>
    <x v="5"/>
    <x v="0"/>
    <x v="5"/>
  </r>
  <r>
    <x v="15"/>
    <s v="S16_2020_12"/>
    <x v="0"/>
    <s v="Maintenance"/>
    <x v="15"/>
    <s v="Victorien"/>
    <x v="7"/>
    <x v="28"/>
    <x v="17"/>
    <d v="2020-02-20T00:00:00"/>
    <n v="385000"/>
    <n v="395202"/>
    <n v="395202"/>
    <n v="0"/>
    <n v="0"/>
    <n v="0"/>
    <n v="0"/>
    <n v="3952.02"/>
    <n v="6250"/>
    <n v="391250"/>
    <n v="2000"/>
    <m/>
    <n v="395202"/>
    <n v="59280"/>
    <x v="1"/>
    <x v="0"/>
    <x v="3"/>
    <x v="5"/>
  </r>
  <r>
    <x v="16"/>
    <s v="S17_2020_12"/>
    <x v="0"/>
    <s v="Transversal"/>
    <x v="16"/>
    <s v="Velonasy"/>
    <x v="8"/>
    <x v="28"/>
    <x v="17"/>
    <d v="2020-02-20T00:00:00"/>
    <n v="260000"/>
    <n v="233794"/>
    <n v="264646"/>
    <n v="17511"/>
    <n v="13341"/>
    <n v="0"/>
    <n v="0"/>
    <n v="2646.46"/>
    <n v="2000"/>
    <n v="262000"/>
    <n v="6000"/>
    <m/>
    <n v="264646"/>
    <n v="39697"/>
    <x v="1"/>
    <x v="0"/>
    <x v="4"/>
    <x v="5"/>
  </r>
  <r>
    <x v="17"/>
    <s v="S18_2020_12"/>
    <x v="0"/>
    <s v="Construction"/>
    <x v="17"/>
    <s v="Bienvenu"/>
    <x v="5"/>
    <x v="28"/>
    <x v="17"/>
    <d v="2020-07-27T00:00:00"/>
    <n v="300000"/>
    <n v="305050"/>
    <n v="305050"/>
    <n v="0"/>
    <n v="0"/>
    <n v="0"/>
    <n v="0"/>
    <n v="3050.5"/>
    <n v="2000"/>
    <n v="302000"/>
    <n v="2000"/>
    <m/>
    <n v="305050"/>
    <n v="45758"/>
    <x v="3"/>
    <x v="6"/>
    <x v="1"/>
    <x v="5"/>
  </r>
  <r>
    <x v="18"/>
    <s v="S19_2020_12"/>
    <x v="0"/>
    <s v="Maintenance"/>
    <x v="18"/>
    <s v="Faly"/>
    <x v="7"/>
    <x v="28"/>
    <x v="17"/>
    <d v="2020-04-29T00:00:00"/>
    <n v="550000"/>
    <n v="606061"/>
    <n v="606061"/>
    <n v="0"/>
    <n v="0"/>
    <n v="0"/>
    <n v="0"/>
    <n v="6060.61"/>
    <n v="50000"/>
    <n v="600000"/>
    <n v="0"/>
    <m/>
    <n v="606061"/>
    <n v="90909"/>
    <x v="4"/>
    <x v="0"/>
    <x v="3"/>
    <x v="5"/>
  </r>
  <r>
    <x v="19"/>
    <s v="S20_2020_12"/>
    <x v="3"/>
    <s v="Maintenance"/>
    <x v="19"/>
    <s v="Manitrasina"/>
    <x v="1"/>
    <x v="28"/>
    <x v="17"/>
    <d v="2020-03-31T00:00:00"/>
    <n v="150000"/>
    <n v="153535"/>
    <n v="153535"/>
    <n v="0"/>
    <n v="0"/>
    <n v="0"/>
    <n v="0"/>
    <n v="1535.35"/>
    <n v="2000"/>
    <n v="152000"/>
    <n v="0"/>
    <m/>
    <n v="153535"/>
    <n v="23030"/>
    <x v="5"/>
    <x v="0"/>
    <x v="1"/>
    <x v="5"/>
  </r>
  <r>
    <x v="22"/>
    <s v="S23_2020_12"/>
    <x v="2"/>
    <s v="Transversal"/>
    <x v="22"/>
    <s v="Boris"/>
    <x v="13"/>
    <x v="28"/>
    <x v="17"/>
    <d v="2020-06-27T00:00:00"/>
    <n v="550000"/>
    <n v="606061"/>
    <n v="606061"/>
    <n v="0"/>
    <n v="0"/>
    <n v="0"/>
    <n v="0"/>
    <n v="6060.61"/>
    <n v="50000"/>
    <n v="600000"/>
    <n v="0"/>
    <m/>
    <n v="606061"/>
    <n v="90909"/>
    <x v="7"/>
    <x v="8"/>
    <x v="3"/>
    <x v="5"/>
  </r>
  <r>
    <x v="23"/>
    <s v="S24_2020_12"/>
    <x v="2"/>
    <s v="Transversal"/>
    <x v="23"/>
    <s v="Christophe"/>
    <x v="14"/>
    <x v="28"/>
    <x v="17"/>
    <d v="2020-07-28T00:00:00"/>
    <n v="450000"/>
    <n v="479798"/>
    <n v="479798"/>
    <n v="0"/>
    <n v="0"/>
    <n v="0"/>
    <n v="0"/>
    <n v="4797.9799999999996"/>
    <n v="25000"/>
    <n v="475000"/>
    <n v="0"/>
    <m/>
    <n v="479798"/>
    <n v="71970"/>
    <x v="8"/>
    <x v="0"/>
    <x v="3"/>
    <x v="5"/>
  </r>
  <r>
    <x v="24"/>
    <s v="S25_2020_12"/>
    <x v="2"/>
    <s v="Maintenance"/>
    <x v="24"/>
    <s v="Doris"/>
    <x v="1"/>
    <x v="28"/>
    <x v="17"/>
    <d v="2020-07-28T00:00:00"/>
    <n v="420000"/>
    <n v="439394"/>
    <n v="439394"/>
    <n v="0"/>
    <n v="0"/>
    <n v="0"/>
    <n v="0"/>
    <n v="4393.9399999999996"/>
    <n v="15000"/>
    <n v="435000"/>
    <n v="2000"/>
    <m/>
    <n v="439394"/>
    <n v="65909"/>
    <x v="8"/>
    <x v="1"/>
    <x v="1"/>
    <x v="5"/>
  </r>
  <r>
    <x v="25"/>
    <s v="S26_2020_12"/>
    <x v="0"/>
    <s v="Construction"/>
    <x v="25"/>
    <s v="Anicet"/>
    <x v="5"/>
    <x v="28"/>
    <x v="17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5"/>
  </r>
  <r>
    <x v="27"/>
    <s v="S28_2020_12"/>
    <x v="2"/>
    <s v="Construction"/>
    <x v="27"/>
    <s v="Rodin"/>
    <x v="1"/>
    <x v="28"/>
    <x v="17"/>
    <d v="2020-07-28T00:00:00"/>
    <n v="300000"/>
    <n v="305051"/>
    <n v="305051"/>
    <n v="0"/>
    <n v="0"/>
    <n v="0"/>
    <n v="0"/>
    <n v="3050.51"/>
    <n v="2000"/>
    <n v="302000"/>
    <n v="0"/>
    <m/>
    <n v="305051"/>
    <n v="45758"/>
    <x v="8"/>
    <x v="0"/>
    <x v="1"/>
    <x v="5"/>
  </r>
  <r>
    <x v="29"/>
    <s v="S30_2020_12"/>
    <x v="2"/>
    <s v="Transversal"/>
    <x v="29"/>
    <s v="Marie Jeanne"/>
    <x v="9"/>
    <x v="28"/>
    <x v="17"/>
    <d v="2020-07-28T00:00:00"/>
    <n v="80000"/>
    <n v="82828"/>
    <n v="82828"/>
    <n v="0"/>
    <n v="0"/>
    <n v="0"/>
    <n v="0"/>
    <n v="828.28"/>
    <n v="2000"/>
    <n v="82000"/>
    <n v="0"/>
    <m/>
    <n v="82828"/>
    <n v="12424"/>
    <x v="8"/>
    <x v="0"/>
    <x v="5"/>
    <x v="5"/>
  </r>
  <r>
    <x v="31"/>
    <s v="S32_2020_12"/>
    <x v="0"/>
    <s v="Maintenance"/>
    <x v="31"/>
    <s v="Francot"/>
    <x v="1"/>
    <x v="30"/>
    <x v="17"/>
    <d v="2020-12-22T00:00:00"/>
    <n v="7718"/>
    <n v="9816"/>
    <n v="9816"/>
    <n v="0"/>
    <n v="0"/>
    <n v="0"/>
    <n v="0"/>
    <n v="98.16"/>
    <n v="2000"/>
    <n v="9718"/>
    <n v="2000"/>
    <m/>
    <n v="9816"/>
    <n v="1472"/>
    <x v="10"/>
    <x v="12"/>
    <x v="1"/>
    <x v="5"/>
  </r>
  <r>
    <x v="32"/>
    <s v="S33_2020_12"/>
    <x v="0"/>
    <s v="Maintenance"/>
    <x v="32"/>
    <s v="Perolin"/>
    <x v="1"/>
    <x v="30"/>
    <x v="17"/>
    <d v="2020-12-22T00:00:00"/>
    <n v="170000"/>
    <n v="173737"/>
    <n v="173737"/>
    <n v="0"/>
    <n v="0"/>
    <n v="0"/>
    <n v="0"/>
    <n v="1737.37"/>
    <n v="2000"/>
    <n v="172000"/>
    <n v="2000"/>
    <m/>
    <n v="173737"/>
    <n v="26061"/>
    <x v="11"/>
    <x v="0"/>
    <x v="1"/>
    <x v="5"/>
  </r>
  <r>
    <x v="30"/>
    <s v="S31_2020_12"/>
    <x v="2"/>
    <s v="Maintenance"/>
    <x v="30"/>
    <s v="Fabiolain"/>
    <x v="1"/>
    <x v="29"/>
    <x v="17"/>
    <d v="2020-12-21T00:00:00"/>
    <e v="#REF!"/>
    <n v="129293"/>
    <e v="#REF!"/>
    <n v="0"/>
    <n v="0"/>
    <n v="0"/>
    <n v="0"/>
    <e v="#REF!"/>
    <e v="#REF!"/>
    <e v="#REF!"/>
    <n v="2000"/>
    <m/>
    <e v="#REF!"/>
    <e v="#REF!"/>
    <x v="9"/>
    <x v="11"/>
    <x v="1"/>
    <x v="5"/>
  </r>
  <r>
    <x v="0"/>
    <s v="S01_2021_1"/>
    <x v="0"/>
    <s v="Maintenance"/>
    <x v="0"/>
    <s v="Gaetan"/>
    <x v="0"/>
    <x v="31"/>
    <x v="18"/>
    <d v="2021-01-27T00:00:00"/>
    <n v="1022500"/>
    <n v="1166667"/>
    <n v="1166667"/>
    <n v="0"/>
    <n v="0"/>
    <n v="0"/>
    <n v="0"/>
    <n v="11666.67"/>
    <n v="132500"/>
    <n v="1155000"/>
    <n v="6000"/>
    <m/>
    <n v="1166667"/>
    <n v="175000"/>
    <x v="0"/>
    <x v="0"/>
    <x v="0"/>
    <x v="6"/>
  </r>
  <r>
    <x v="1"/>
    <s v="S02_2021_1"/>
    <x v="0"/>
    <s v="Maintenance"/>
    <x v="1"/>
    <s v="Luo"/>
    <x v="1"/>
    <x v="31"/>
    <x v="18"/>
    <d v="2021-01-27T00:00:00"/>
    <n v="380000"/>
    <n v="385859"/>
    <n v="385859"/>
    <n v="0"/>
    <n v="0"/>
    <n v="0"/>
    <n v="0"/>
    <n v="3858.59"/>
    <n v="2000"/>
    <n v="382000"/>
    <n v="0"/>
    <m/>
    <n v="385859"/>
    <n v="57879"/>
    <x v="0"/>
    <x v="1"/>
    <x v="1"/>
    <x v="6"/>
  </r>
  <r>
    <x v="2"/>
    <s v="S03_2021_1"/>
    <x v="0"/>
    <s v="Maintenance"/>
    <x v="2"/>
    <s v="Tsilavina"/>
    <x v="1"/>
    <x v="31"/>
    <x v="18"/>
    <d v="2021-01-27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2"/>
    <x v="1"/>
    <x v="6"/>
  </r>
  <r>
    <x v="4"/>
    <s v="S05_2021_1"/>
    <x v="0"/>
    <s v="Transversal"/>
    <x v="4"/>
    <s v="Florentin"/>
    <x v="3"/>
    <x v="31"/>
    <x v="18"/>
    <d v="2021-01-27T00:00:00"/>
    <n v="498000"/>
    <n v="515152"/>
    <n v="515152"/>
    <n v="0"/>
    <n v="0"/>
    <n v="0"/>
    <n v="0"/>
    <n v="5151.5200000000004"/>
    <n v="12000"/>
    <n v="510000"/>
    <n v="2000"/>
    <m/>
    <n v="515152"/>
    <n v="77273"/>
    <x v="1"/>
    <x v="0"/>
    <x v="1"/>
    <x v="6"/>
  </r>
  <r>
    <x v="5"/>
    <s v="S06_2021_1"/>
    <x v="1"/>
    <s v="Transversal"/>
    <x v="5"/>
    <s v="Michel"/>
    <x v="4"/>
    <x v="31"/>
    <x v="18"/>
    <d v="2021-01-27T00:00:00"/>
    <n v="529625"/>
    <n v="547980"/>
    <n v="547980"/>
    <n v="0"/>
    <n v="0"/>
    <n v="0"/>
    <n v="0"/>
    <n v="5479.8"/>
    <n v="12875"/>
    <n v="542500"/>
    <n v="6000"/>
    <m/>
    <n v="547980"/>
    <n v="82197"/>
    <x v="1"/>
    <x v="1"/>
    <x v="2"/>
    <x v="6"/>
  </r>
  <r>
    <x v="7"/>
    <s v="S08_2021_1"/>
    <x v="0"/>
    <s v="Transversal"/>
    <x v="7"/>
    <s v="Onja"/>
    <x v="6"/>
    <x v="31"/>
    <x v="18"/>
    <d v="2021-01-27T00:00:00"/>
    <n v="672500"/>
    <n v="732323"/>
    <n v="732323"/>
    <n v="0"/>
    <n v="0"/>
    <n v="0"/>
    <n v="0"/>
    <n v="7323.23"/>
    <n v="52500"/>
    <n v="725000"/>
    <n v="0"/>
    <m/>
    <n v="732323"/>
    <n v="109848"/>
    <x v="2"/>
    <x v="0"/>
    <x v="0"/>
    <x v="6"/>
  </r>
  <r>
    <x v="8"/>
    <s v="S09_2021_1"/>
    <x v="2"/>
    <s v="Maintenance"/>
    <x v="8"/>
    <s v="Rinon"/>
    <x v="1"/>
    <x v="31"/>
    <x v="18"/>
    <d v="2021-01-27T00:00:00"/>
    <n v="380500"/>
    <n v="386364"/>
    <n v="386364"/>
    <n v="0"/>
    <n v="0"/>
    <n v="0"/>
    <n v="0"/>
    <n v="3863.64"/>
    <n v="2000"/>
    <n v="382500"/>
    <n v="4000"/>
    <m/>
    <n v="386364"/>
    <n v="57955"/>
    <x v="1"/>
    <x v="1"/>
    <x v="1"/>
    <x v="6"/>
  </r>
  <r>
    <x v="9"/>
    <s v="S10_2021_1"/>
    <x v="2"/>
    <s v="Maintenance"/>
    <x v="9"/>
    <s v="Alain"/>
    <x v="7"/>
    <x v="31"/>
    <x v="18"/>
    <d v="2021-01-27T00:00:00"/>
    <n v="355000"/>
    <n v="360606"/>
    <n v="360606"/>
    <n v="0"/>
    <n v="0"/>
    <n v="0"/>
    <n v="0"/>
    <n v="3606.06"/>
    <n v="2000"/>
    <n v="357000"/>
    <n v="2000"/>
    <m/>
    <n v="360606"/>
    <n v="54091"/>
    <x v="1"/>
    <x v="0"/>
    <x v="3"/>
    <x v="6"/>
  </r>
  <r>
    <x v="10"/>
    <s v="S11_2021_1"/>
    <x v="0"/>
    <s v="Transversal"/>
    <x v="10"/>
    <s v="Raoul"/>
    <x v="8"/>
    <x v="31"/>
    <x v="18"/>
    <d v="2021-01-27T00:00:00"/>
    <n v="340500"/>
    <n v="251641"/>
    <n v="345946"/>
    <n v="18847"/>
    <n v="14360"/>
    <n v="0"/>
    <n v="59"/>
    <n v="3459.46"/>
    <n v="2000"/>
    <n v="342487"/>
    <n v="6000"/>
    <m/>
    <n v="345946"/>
    <n v="51892"/>
    <x v="1"/>
    <x v="0"/>
    <x v="4"/>
    <x v="6"/>
  </r>
  <r>
    <x v="11"/>
    <s v="S12_2021_1"/>
    <x v="0"/>
    <s v="Transversal"/>
    <x v="11"/>
    <s v="Benedictine"/>
    <x v="9"/>
    <x v="31"/>
    <x v="18"/>
    <d v="2021-01-27T00:00:00"/>
    <n v="75000"/>
    <n v="77778"/>
    <n v="77778"/>
    <n v="0"/>
    <n v="0"/>
    <n v="0"/>
    <n v="0"/>
    <n v="777.78"/>
    <n v="2000"/>
    <n v="77000"/>
    <n v="6000"/>
    <m/>
    <n v="77778"/>
    <n v="11667"/>
    <x v="1"/>
    <x v="0"/>
    <x v="5"/>
    <x v="6"/>
  </r>
  <r>
    <x v="12"/>
    <s v="S13_2021_1"/>
    <x v="1"/>
    <s v="Transversal"/>
    <x v="12"/>
    <s v="Herizo"/>
    <x v="10"/>
    <x v="31"/>
    <x v="18"/>
    <d v="2021-01-27T00:00:00"/>
    <n v="2122500"/>
    <n v="2548500"/>
    <n v="2548500"/>
    <n v="0"/>
    <n v="0"/>
    <n v="0"/>
    <n v="0"/>
    <n v="16000"/>
    <n v="410000"/>
    <n v="2532500"/>
    <n v="4000"/>
    <m/>
    <n v="1904000"/>
    <n v="240000"/>
    <x v="1"/>
    <x v="0"/>
    <x v="0"/>
    <x v="6"/>
  </r>
  <r>
    <x v="13"/>
    <s v="S14_2021_1"/>
    <x v="0"/>
    <s v="Transversal"/>
    <x v="13"/>
    <s v="Rene"/>
    <x v="8"/>
    <x v="31"/>
    <x v="18"/>
    <d v="2021-01-27T00:00:00"/>
    <n v="280000"/>
    <n v="251641"/>
    <n v="284848"/>
    <n v="18847"/>
    <n v="14360"/>
    <n v="0"/>
    <n v="0"/>
    <n v="2848.48"/>
    <n v="2000"/>
    <n v="282000"/>
    <n v="6000"/>
    <m/>
    <n v="284848"/>
    <n v="42727"/>
    <x v="1"/>
    <x v="0"/>
    <x v="4"/>
    <x v="6"/>
  </r>
  <r>
    <x v="14"/>
    <s v="S15_2021_1"/>
    <x v="2"/>
    <s v="Transversal"/>
    <x v="14"/>
    <s v="Chrisos"/>
    <x v="11"/>
    <x v="31"/>
    <x v="18"/>
    <d v="2021-01-27T00:00:00"/>
    <n v="930000"/>
    <n v="1057449"/>
    <n v="1057449"/>
    <n v="0"/>
    <n v="0"/>
    <n v="0"/>
    <n v="0"/>
    <n v="10574.49"/>
    <n v="116875"/>
    <n v="1046875"/>
    <n v="0"/>
    <m/>
    <n v="1057449"/>
    <n v="158617"/>
    <x v="1"/>
    <x v="5"/>
    <x v="0"/>
    <x v="6"/>
  </r>
  <r>
    <x v="15"/>
    <s v="S16_2021_1"/>
    <x v="0"/>
    <s v="Maintenance"/>
    <x v="15"/>
    <s v="Victorien"/>
    <x v="7"/>
    <x v="31"/>
    <x v="18"/>
    <d v="2021-01-27T00:00:00"/>
    <n v="419750"/>
    <n v="426768"/>
    <n v="426768"/>
    <n v="0"/>
    <n v="0"/>
    <n v="0"/>
    <n v="0"/>
    <n v="4267.68"/>
    <n v="2750"/>
    <n v="422500"/>
    <n v="2000"/>
    <m/>
    <n v="426768"/>
    <n v="64015"/>
    <x v="1"/>
    <x v="0"/>
    <x v="3"/>
    <x v="6"/>
  </r>
  <r>
    <x v="16"/>
    <s v="S17_2021_1"/>
    <x v="0"/>
    <s v="Transversal"/>
    <x v="16"/>
    <s v="Velonasy"/>
    <x v="8"/>
    <x v="31"/>
    <x v="18"/>
    <d v="2021-01-27T00:00:00"/>
    <n v="355900"/>
    <n v="251641"/>
    <n v="361480"/>
    <n v="18847"/>
    <n v="14360"/>
    <n v="1"/>
    <n v="69"/>
    <n v="3614.8"/>
    <n v="2000"/>
    <n v="357865"/>
    <n v="6000"/>
    <m/>
    <n v="361480"/>
    <n v="54222"/>
    <x v="1"/>
    <x v="0"/>
    <x v="4"/>
    <x v="6"/>
  </r>
  <r>
    <x v="17"/>
    <s v="S18_2021_1"/>
    <x v="0"/>
    <s v="Construction"/>
    <x v="17"/>
    <s v="Bienvenu"/>
    <x v="5"/>
    <x v="32"/>
    <x v="18"/>
    <d v="2021-01-11T00:00:00"/>
    <n v="100000"/>
    <n v="103030"/>
    <n v="103030"/>
    <n v="0"/>
    <n v="0"/>
    <n v="0"/>
    <n v="0"/>
    <n v="1030.3"/>
    <n v="2000"/>
    <n v="102000"/>
    <n v="2000"/>
    <m/>
    <n v="103030"/>
    <n v="15455"/>
    <x v="3"/>
    <x v="6"/>
    <x v="1"/>
    <x v="6"/>
  </r>
  <r>
    <x v="18"/>
    <s v="S19_2021_1"/>
    <x v="0"/>
    <s v="Maintenance"/>
    <x v="18"/>
    <s v="Faly"/>
    <x v="7"/>
    <x v="31"/>
    <x v="18"/>
    <d v="2021-01-27T00:00:00"/>
    <n v="602500"/>
    <n v="643939"/>
    <n v="643939"/>
    <n v="0"/>
    <n v="0"/>
    <n v="0"/>
    <n v="0"/>
    <n v="6439.39"/>
    <n v="35000"/>
    <n v="637500"/>
    <n v="0"/>
    <m/>
    <n v="643939"/>
    <n v="96591"/>
    <x v="4"/>
    <x v="0"/>
    <x v="3"/>
    <x v="6"/>
  </r>
  <r>
    <x v="19"/>
    <s v="S20_2021_1"/>
    <x v="3"/>
    <s v="Maintenance"/>
    <x v="19"/>
    <s v="Manitrasina"/>
    <x v="1"/>
    <x v="31"/>
    <x v="18"/>
    <d v="2021-01-27T00:00:00"/>
    <n v="22572"/>
    <n v="24820"/>
    <n v="24820"/>
    <n v="0"/>
    <n v="0"/>
    <n v="0"/>
    <n v="0"/>
    <n v="248.2"/>
    <n v="2000"/>
    <n v="24572"/>
    <n v="0"/>
    <m/>
    <n v="24820"/>
    <n v="3723"/>
    <x v="5"/>
    <x v="0"/>
    <x v="1"/>
    <x v="6"/>
  </r>
  <r>
    <x v="22"/>
    <s v="S23_2021_1"/>
    <x v="2"/>
    <s v="Transversal"/>
    <x v="22"/>
    <s v="Boris"/>
    <x v="13"/>
    <x v="31"/>
    <x v="18"/>
    <d v="2021-01-27T00:00:00"/>
    <n v="602500"/>
    <n v="643939"/>
    <n v="643939"/>
    <n v="0"/>
    <n v="0"/>
    <n v="0"/>
    <n v="0"/>
    <n v="6439.39"/>
    <n v="35000"/>
    <n v="637500"/>
    <n v="0"/>
    <m/>
    <n v="643939"/>
    <n v="96591"/>
    <x v="7"/>
    <x v="8"/>
    <x v="3"/>
    <x v="6"/>
  </r>
  <r>
    <x v="23"/>
    <s v="S24_2021_1"/>
    <x v="2"/>
    <s v="Transversal"/>
    <x v="23"/>
    <s v="Christophe"/>
    <x v="14"/>
    <x v="31"/>
    <x v="18"/>
    <d v="2021-01-27T00:00:00"/>
    <n v="493000"/>
    <n v="511587"/>
    <n v="511587"/>
    <n v="0"/>
    <n v="0"/>
    <n v="0"/>
    <n v="0"/>
    <n v="5115.87"/>
    <n v="13471"/>
    <n v="506471"/>
    <n v="0"/>
    <m/>
    <n v="511587"/>
    <n v="76738"/>
    <x v="8"/>
    <x v="0"/>
    <x v="3"/>
    <x v="6"/>
  </r>
  <r>
    <x v="24"/>
    <s v="S25_2021_1"/>
    <x v="2"/>
    <s v="Maintenance"/>
    <x v="24"/>
    <s v="Doris"/>
    <x v="1"/>
    <x v="31"/>
    <x v="18"/>
    <d v="2021-01-27T00:00:00"/>
    <n v="460000"/>
    <n v="471941"/>
    <n v="471941"/>
    <n v="0"/>
    <n v="0"/>
    <n v="0"/>
    <n v="0"/>
    <n v="4719.41"/>
    <n v="7222"/>
    <n v="467222"/>
    <n v="2000"/>
    <m/>
    <n v="471941"/>
    <n v="70791"/>
    <x v="8"/>
    <x v="1"/>
    <x v="1"/>
    <x v="6"/>
  </r>
  <r>
    <x v="25"/>
    <s v="S26_2021_1"/>
    <x v="0"/>
    <s v="Construction"/>
    <x v="25"/>
    <s v="Anicet"/>
    <x v="5"/>
    <x v="31"/>
    <x v="18"/>
    <d v="2021-01-27T00:00:00"/>
    <n v="320000"/>
    <n v="325253"/>
    <n v="325253"/>
    <n v="0"/>
    <n v="0"/>
    <n v="0"/>
    <n v="0"/>
    <n v="3252.53"/>
    <n v="2000"/>
    <n v="322000"/>
    <n v="0"/>
    <m/>
    <n v="325253"/>
    <n v="48788"/>
    <x v="8"/>
    <x v="0"/>
    <x v="1"/>
    <x v="6"/>
  </r>
  <r>
    <x v="27"/>
    <s v="S28_2021_1"/>
    <x v="2"/>
    <s v="Construction"/>
    <x v="27"/>
    <s v="Rodin"/>
    <x v="1"/>
    <x v="31"/>
    <x v="18"/>
    <d v="2021-01-27T00:00:00"/>
    <n v="320000"/>
    <n v="325253"/>
    <n v="325253"/>
    <n v="0"/>
    <n v="0"/>
    <n v="0"/>
    <n v="0"/>
    <n v="3252.53"/>
    <n v="2000"/>
    <n v="322000"/>
    <n v="0"/>
    <m/>
    <n v="325253"/>
    <n v="48788"/>
    <x v="8"/>
    <x v="0"/>
    <x v="1"/>
    <x v="6"/>
  </r>
  <r>
    <x v="29"/>
    <s v="S30_2021_1"/>
    <x v="2"/>
    <s v="Transversal"/>
    <x v="29"/>
    <s v="Marie Jeanne"/>
    <x v="9"/>
    <x v="31"/>
    <x v="18"/>
    <d v="2021-01-27T00:00:00"/>
    <n v="90000"/>
    <n v="92929"/>
    <n v="92929"/>
    <n v="0"/>
    <n v="0"/>
    <n v="0"/>
    <n v="0"/>
    <n v="929.29"/>
    <n v="2000"/>
    <n v="92000"/>
    <n v="6000"/>
    <m/>
    <n v="92929"/>
    <n v="13939"/>
    <x v="8"/>
    <x v="0"/>
    <x v="5"/>
    <x v="6"/>
  </r>
  <r>
    <x v="31"/>
    <s v="S32_2021_1"/>
    <x v="0"/>
    <s v="Maintenance"/>
    <x v="31"/>
    <s v="Francot"/>
    <x v="1"/>
    <x v="31"/>
    <x v="18"/>
    <d v="2021-01-27T00:00:00"/>
    <n v="7133"/>
    <n v="9225"/>
    <n v="9225"/>
    <n v="0"/>
    <n v="0"/>
    <n v="0"/>
    <n v="0"/>
    <n v="92.25"/>
    <n v="2000"/>
    <n v="9133"/>
    <n v="2000"/>
    <m/>
    <n v="9225"/>
    <n v="1384"/>
    <x v="10"/>
    <x v="12"/>
    <x v="1"/>
    <x v="6"/>
  </r>
  <r>
    <x v="32"/>
    <s v="S33_2021_1"/>
    <x v="0"/>
    <s v="Maintenance"/>
    <x v="32"/>
    <s v="Perolin"/>
    <x v="1"/>
    <x v="31"/>
    <x v="18"/>
    <d v="2021-01-27T00:00:00"/>
    <n v="160000"/>
    <n v="163636"/>
    <n v="163636"/>
    <n v="0"/>
    <n v="0"/>
    <n v="0"/>
    <n v="0"/>
    <n v="1636.36"/>
    <n v="2000"/>
    <n v="162000"/>
    <n v="2000"/>
    <m/>
    <n v="163636"/>
    <n v="24545"/>
    <x v="11"/>
    <x v="0"/>
    <x v="1"/>
    <x v="6"/>
  </r>
  <r>
    <x v="30"/>
    <s v="S31_2021_1"/>
    <x v="2"/>
    <s v="Maintenance"/>
    <x v="30"/>
    <s v="Fabiolain"/>
    <x v="1"/>
    <x v="31"/>
    <x v="18"/>
    <d v="2021-01-27T00:00:00"/>
    <e v="#REF!"/>
    <n v="129293"/>
    <e v="#REF!"/>
    <n v="0"/>
    <n v="0"/>
    <n v="0"/>
    <n v="0"/>
    <e v="#REF!"/>
    <e v="#REF!"/>
    <e v="#REF!"/>
    <n v="2000"/>
    <m/>
    <e v="#REF!"/>
    <e v="#REF!"/>
    <x v="9"/>
    <x v="11"/>
    <x v="1"/>
    <x v="6"/>
  </r>
  <r>
    <x v="0"/>
    <s v="S01_2021_2"/>
    <x v="0"/>
    <s v="Maintenance"/>
    <x v="0"/>
    <s v="Gaetan"/>
    <x v="0"/>
    <x v="33"/>
    <x v="19"/>
    <d v="2021-01-27T00:00:00"/>
    <n v="1022500"/>
    <n v="1166667"/>
    <n v="1166667"/>
    <n v="0"/>
    <n v="0"/>
    <n v="0"/>
    <n v="0"/>
    <n v="11666.67"/>
    <n v="132500"/>
    <n v="1155000"/>
    <n v="6000"/>
    <m/>
    <n v="1166667"/>
    <n v="175000"/>
    <x v="0"/>
    <x v="0"/>
    <x v="0"/>
    <x v="6"/>
  </r>
  <r>
    <x v="1"/>
    <s v="S02_2021_2"/>
    <x v="0"/>
    <s v="Maintenance"/>
    <x v="1"/>
    <s v="Luo"/>
    <x v="1"/>
    <x v="33"/>
    <x v="19"/>
    <d v="2021-01-27T00:00:00"/>
    <n v="380000"/>
    <n v="385859"/>
    <n v="385859"/>
    <n v="0"/>
    <n v="0"/>
    <n v="0"/>
    <n v="0"/>
    <n v="3858.59"/>
    <n v="2000"/>
    <n v="382000"/>
    <n v="0"/>
    <m/>
    <n v="385859"/>
    <n v="57879"/>
    <x v="0"/>
    <x v="1"/>
    <x v="1"/>
    <x v="6"/>
  </r>
  <r>
    <x v="2"/>
    <s v="S03_2021_2"/>
    <x v="0"/>
    <s v="Maintenance"/>
    <x v="2"/>
    <s v="Tsilavina"/>
    <x v="1"/>
    <x v="33"/>
    <x v="19"/>
    <d v="2021-01-27T00:00:00"/>
    <n v="350000"/>
    <n v="355556"/>
    <n v="355556"/>
    <n v="0"/>
    <n v="0"/>
    <n v="0"/>
    <n v="0"/>
    <n v="3555.56"/>
    <n v="2000"/>
    <n v="352000"/>
    <n v="0"/>
    <m/>
    <n v="355556"/>
    <n v="53333"/>
    <x v="0"/>
    <x v="2"/>
    <x v="1"/>
    <x v="6"/>
  </r>
  <r>
    <x v="4"/>
    <s v="S05_2021_2"/>
    <x v="0"/>
    <s v="Transversal"/>
    <x v="4"/>
    <s v="Florentin"/>
    <x v="3"/>
    <x v="33"/>
    <x v="19"/>
    <d v="2021-01-27T00:00:00"/>
    <n v="498000"/>
    <n v="515152"/>
    <n v="515152"/>
    <n v="0"/>
    <n v="0"/>
    <n v="0"/>
    <n v="0"/>
    <n v="5151.5200000000004"/>
    <n v="12000"/>
    <n v="510000"/>
    <n v="2000"/>
    <m/>
    <n v="515152"/>
    <n v="77273"/>
    <x v="1"/>
    <x v="0"/>
    <x v="1"/>
    <x v="6"/>
  </r>
  <r>
    <x v="5"/>
    <s v="S06_2021_2"/>
    <x v="1"/>
    <s v="Transversal"/>
    <x v="5"/>
    <s v="Michel"/>
    <x v="4"/>
    <x v="33"/>
    <x v="19"/>
    <d v="2021-01-27T00:00:00"/>
    <n v="529625"/>
    <n v="547980"/>
    <n v="547980"/>
    <n v="0"/>
    <n v="0"/>
    <n v="0"/>
    <n v="0"/>
    <n v="5479.8"/>
    <n v="12875"/>
    <n v="542500"/>
    <n v="6000"/>
    <m/>
    <n v="547980"/>
    <n v="82197"/>
    <x v="1"/>
    <x v="1"/>
    <x v="2"/>
    <x v="6"/>
  </r>
  <r>
    <x v="7"/>
    <s v="S08_2021_2"/>
    <x v="0"/>
    <s v="Transversal"/>
    <x v="7"/>
    <s v="Onja"/>
    <x v="6"/>
    <x v="33"/>
    <x v="19"/>
    <d v="2021-01-27T00:00:00"/>
    <n v="672500"/>
    <n v="732323"/>
    <n v="732323"/>
    <n v="0"/>
    <n v="0"/>
    <n v="0"/>
    <n v="0"/>
    <n v="7323.23"/>
    <n v="52500"/>
    <n v="725000"/>
    <n v="0"/>
    <m/>
    <n v="732323"/>
    <n v="109848"/>
    <x v="2"/>
    <x v="0"/>
    <x v="0"/>
    <x v="6"/>
  </r>
  <r>
    <x v="8"/>
    <s v="S09_2021_2"/>
    <x v="2"/>
    <s v="Maintenance"/>
    <x v="8"/>
    <s v="Rinon"/>
    <x v="1"/>
    <x v="33"/>
    <x v="19"/>
    <d v="2021-01-27T00:00:00"/>
    <n v="380500"/>
    <n v="386364"/>
    <n v="386364"/>
    <n v="0"/>
    <n v="0"/>
    <n v="0"/>
    <n v="0"/>
    <n v="3863.64"/>
    <n v="2000"/>
    <n v="382500"/>
    <n v="4000"/>
    <m/>
    <n v="386364"/>
    <n v="57955"/>
    <x v="1"/>
    <x v="1"/>
    <x v="1"/>
    <x v="6"/>
  </r>
  <r>
    <x v="9"/>
    <s v="S10_2021_2"/>
    <x v="2"/>
    <s v="Maintenance"/>
    <x v="9"/>
    <s v="Alain"/>
    <x v="7"/>
    <x v="33"/>
    <x v="19"/>
    <d v="2021-01-27T00:00:00"/>
    <n v="355000"/>
    <n v="360606"/>
    <n v="360606"/>
    <n v="0"/>
    <n v="0"/>
    <n v="0"/>
    <n v="0"/>
    <n v="3606.06"/>
    <n v="2000"/>
    <n v="357000"/>
    <n v="2000"/>
    <m/>
    <n v="360606"/>
    <n v="54091"/>
    <x v="1"/>
    <x v="0"/>
    <x v="3"/>
    <x v="6"/>
  </r>
  <r>
    <x v="10"/>
    <s v="S11_2021_2"/>
    <x v="0"/>
    <s v="Transversal"/>
    <x v="10"/>
    <s v="Raoul"/>
    <x v="8"/>
    <x v="33"/>
    <x v="19"/>
    <d v="2021-02-27T00:00:00"/>
    <n v="280000"/>
    <n v="251641"/>
    <n v="284848"/>
    <n v="18847"/>
    <n v="14360"/>
    <n v="0"/>
    <n v="0"/>
    <n v="2848.48"/>
    <n v="2000"/>
    <n v="282000"/>
    <n v="6000"/>
    <m/>
    <n v="284848"/>
    <n v="42727"/>
    <x v="1"/>
    <x v="0"/>
    <x v="4"/>
    <x v="6"/>
  </r>
  <r>
    <x v="11"/>
    <s v="S12_2021_2"/>
    <x v="0"/>
    <s v="Transversal"/>
    <x v="11"/>
    <s v="Benedictine"/>
    <x v="9"/>
    <x v="33"/>
    <x v="19"/>
    <d v="2021-01-27T00:00:00"/>
    <n v="75000"/>
    <n v="77778"/>
    <n v="77778"/>
    <n v="0"/>
    <n v="0"/>
    <n v="0"/>
    <n v="0"/>
    <n v="777.78"/>
    <n v="2000"/>
    <n v="77000"/>
    <n v="6000"/>
    <m/>
    <n v="77778"/>
    <n v="11667"/>
    <x v="1"/>
    <x v="0"/>
    <x v="5"/>
    <x v="6"/>
  </r>
  <r>
    <x v="12"/>
    <s v="S13_2021_2"/>
    <x v="1"/>
    <s v="Transversal"/>
    <x v="12"/>
    <s v="Herizo"/>
    <x v="10"/>
    <x v="33"/>
    <x v="19"/>
    <d v="2021-01-27T00:00:00"/>
    <n v="2122500"/>
    <n v="2548500"/>
    <n v="2548500"/>
    <n v="0"/>
    <n v="0"/>
    <n v="0"/>
    <n v="0"/>
    <n v="16000"/>
    <n v="410000"/>
    <n v="2532500"/>
    <n v="4000"/>
    <m/>
    <n v="1904000"/>
    <n v="240000"/>
    <x v="1"/>
    <x v="0"/>
    <x v="0"/>
    <x v="6"/>
  </r>
  <r>
    <x v="13"/>
    <s v="S14_2021_2"/>
    <x v="0"/>
    <s v="Transversal"/>
    <x v="13"/>
    <s v="Rene"/>
    <x v="8"/>
    <x v="33"/>
    <x v="19"/>
    <d v="2021-01-27T00:00:00"/>
    <n v="280000"/>
    <n v="251641"/>
    <n v="284848"/>
    <n v="18847"/>
    <n v="14360"/>
    <n v="0"/>
    <n v="0"/>
    <n v="2848.48"/>
    <n v="2000"/>
    <n v="282000"/>
    <n v="6000"/>
    <m/>
    <n v="284848"/>
    <n v="42727"/>
    <x v="1"/>
    <x v="0"/>
    <x v="4"/>
    <x v="6"/>
  </r>
  <r>
    <x v="14"/>
    <s v="S15_2021_2"/>
    <x v="2"/>
    <s v="Transversal"/>
    <x v="14"/>
    <s v="Chrisos"/>
    <x v="11"/>
    <x v="33"/>
    <x v="19"/>
    <d v="2021-01-27T00:00:00"/>
    <n v="930000"/>
    <n v="1057449"/>
    <n v="1057449"/>
    <n v="0"/>
    <n v="0"/>
    <n v="0"/>
    <n v="0"/>
    <n v="10574.49"/>
    <n v="116875"/>
    <n v="1046875"/>
    <n v="0"/>
    <m/>
    <n v="1057449"/>
    <n v="158617"/>
    <x v="1"/>
    <x v="5"/>
    <x v="0"/>
    <x v="6"/>
  </r>
  <r>
    <x v="15"/>
    <s v="S16_2021_2"/>
    <x v="0"/>
    <s v="Maintenance"/>
    <x v="15"/>
    <s v="Victorien"/>
    <x v="7"/>
    <x v="33"/>
    <x v="19"/>
    <d v="2021-01-27T00:00:00"/>
    <n v="419750"/>
    <n v="426768"/>
    <n v="426768"/>
    <n v="0"/>
    <n v="0"/>
    <n v="0"/>
    <n v="0"/>
    <n v="4267.68"/>
    <n v="2750"/>
    <n v="422500"/>
    <n v="2000"/>
    <m/>
    <n v="426768"/>
    <n v="64015"/>
    <x v="1"/>
    <x v="0"/>
    <x v="3"/>
    <x v="6"/>
  </r>
  <r>
    <x v="16"/>
    <s v="S17_2021_2"/>
    <x v="0"/>
    <s v="Transversal"/>
    <x v="16"/>
    <s v="Velonasy"/>
    <x v="8"/>
    <x v="33"/>
    <x v="19"/>
    <d v="2021-02-27T00:00:00"/>
    <n v="280000"/>
    <n v="251641"/>
    <n v="284848"/>
    <n v="18847"/>
    <n v="14360"/>
    <n v="0"/>
    <n v="0"/>
    <n v="2848.48"/>
    <n v="2000"/>
    <n v="282000"/>
    <n v="6000"/>
    <m/>
    <n v="284848"/>
    <n v="42727"/>
    <x v="1"/>
    <x v="0"/>
    <x v="4"/>
    <x v="6"/>
  </r>
  <r>
    <x v="18"/>
    <s v="S19_2021_2"/>
    <x v="0"/>
    <s v="Maintenance"/>
    <x v="18"/>
    <s v="Faly"/>
    <x v="7"/>
    <x v="33"/>
    <x v="19"/>
    <d v="2021-01-27T00:00:00"/>
    <n v="602500"/>
    <n v="643939"/>
    <n v="643939"/>
    <n v="0"/>
    <n v="0"/>
    <n v="0"/>
    <n v="0"/>
    <n v="6439.39"/>
    <n v="35000"/>
    <n v="637500"/>
    <n v="0"/>
    <m/>
    <n v="643939"/>
    <n v="96591"/>
    <x v="4"/>
    <x v="0"/>
    <x v="3"/>
    <x v="6"/>
  </r>
  <r>
    <x v="19"/>
    <s v="S20_2021_2"/>
    <x v="3"/>
    <s v="Maintenance"/>
    <x v="19"/>
    <s v="Manitrasina"/>
    <x v="1"/>
    <x v="33"/>
    <x v="19"/>
    <d v="2021-01-27T00:00:00"/>
    <n v="22572"/>
    <n v="24820"/>
    <n v="24820"/>
    <n v="0"/>
    <n v="0"/>
    <n v="0"/>
    <n v="0"/>
    <n v="248.2"/>
    <n v="2000"/>
    <n v="24572"/>
    <n v="0"/>
    <m/>
    <n v="24820"/>
    <n v="3723"/>
    <x v="5"/>
    <x v="0"/>
    <x v="1"/>
    <x v="6"/>
  </r>
  <r>
    <x v="22"/>
    <s v="S23_2021_2"/>
    <x v="2"/>
    <s v="Transversal"/>
    <x v="22"/>
    <s v="Boris"/>
    <x v="13"/>
    <x v="33"/>
    <x v="19"/>
    <d v="2021-01-27T00:00:00"/>
    <n v="602500"/>
    <n v="643939"/>
    <n v="643939"/>
    <n v="0"/>
    <n v="0"/>
    <n v="0"/>
    <n v="0"/>
    <n v="6439.39"/>
    <n v="35000"/>
    <n v="637500"/>
    <n v="0"/>
    <m/>
    <n v="643939"/>
    <n v="96591"/>
    <x v="7"/>
    <x v="8"/>
    <x v="3"/>
    <x v="6"/>
  </r>
  <r>
    <x v="23"/>
    <s v="S24_2021_2"/>
    <x v="2"/>
    <s v="Transversal"/>
    <x v="23"/>
    <s v="Christophe"/>
    <x v="14"/>
    <x v="33"/>
    <x v="19"/>
    <d v="2021-01-27T00:00:00"/>
    <n v="493000"/>
    <n v="511587"/>
    <n v="511587"/>
    <n v="0"/>
    <n v="0"/>
    <n v="0"/>
    <n v="0"/>
    <n v="5115.87"/>
    <n v="13471"/>
    <n v="506471"/>
    <n v="0"/>
    <m/>
    <n v="511587"/>
    <n v="76738"/>
    <x v="8"/>
    <x v="0"/>
    <x v="3"/>
    <x v="6"/>
  </r>
  <r>
    <x v="24"/>
    <s v="S25_2021_2"/>
    <x v="2"/>
    <s v="Maintenance"/>
    <x v="24"/>
    <s v="Doris"/>
    <x v="1"/>
    <x v="33"/>
    <x v="19"/>
    <d v="2021-01-27T00:00:00"/>
    <n v="460000"/>
    <n v="471941"/>
    <n v="471941"/>
    <n v="0"/>
    <n v="0"/>
    <n v="0"/>
    <n v="0"/>
    <n v="4719.41"/>
    <n v="7222"/>
    <n v="467222"/>
    <n v="2000"/>
    <m/>
    <n v="471941"/>
    <n v="70791"/>
    <x v="8"/>
    <x v="1"/>
    <x v="1"/>
    <x v="6"/>
  </r>
  <r>
    <x v="25"/>
    <s v="S26_2021_2"/>
    <x v="0"/>
    <s v="Construction"/>
    <x v="25"/>
    <s v="Anicet"/>
    <x v="5"/>
    <x v="33"/>
    <x v="19"/>
    <d v="2021-01-27T00:00:00"/>
    <n v="320000"/>
    <n v="325253"/>
    <n v="325253"/>
    <n v="0"/>
    <n v="0"/>
    <n v="0"/>
    <n v="0"/>
    <n v="3252.53"/>
    <n v="2000"/>
    <n v="322000"/>
    <n v="0"/>
    <m/>
    <n v="325253"/>
    <n v="48788"/>
    <x v="8"/>
    <x v="0"/>
    <x v="1"/>
    <x v="6"/>
  </r>
  <r>
    <x v="27"/>
    <s v="S28_2021_2"/>
    <x v="2"/>
    <s v="Construction"/>
    <x v="27"/>
    <s v="Rodin"/>
    <x v="1"/>
    <x v="33"/>
    <x v="19"/>
    <d v="2021-01-27T00:00:00"/>
    <n v="320000"/>
    <n v="325253"/>
    <n v="325253"/>
    <n v="0"/>
    <n v="0"/>
    <n v="0"/>
    <n v="0"/>
    <n v="3252.53"/>
    <n v="2000"/>
    <n v="322000"/>
    <n v="0"/>
    <m/>
    <n v="325253"/>
    <n v="48788"/>
    <x v="8"/>
    <x v="0"/>
    <x v="1"/>
    <x v="6"/>
  </r>
  <r>
    <x v="29"/>
    <s v="S30_2021_2"/>
    <x v="2"/>
    <s v="Transversal"/>
    <x v="29"/>
    <s v="Marie Jeanne"/>
    <x v="9"/>
    <x v="33"/>
    <x v="19"/>
    <d v="2021-01-27T00:00:00"/>
    <n v="90000"/>
    <n v="92929"/>
    <n v="92929"/>
    <n v="0"/>
    <n v="0"/>
    <n v="0"/>
    <n v="0"/>
    <n v="929.29"/>
    <n v="2000"/>
    <n v="92000"/>
    <n v="6000"/>
    <m/>
    <n v="92929"/>
    <n v="13939"/>
    <x v="8"/>
    <x v="0"/>
    <x v="5"/>
    <x v="6"/>
  </r>
  <r>
    <x v="31"/>
    <s v="S32_2021_2"/>
    <x v="0"/>
    <s v="Maintenance"/>
    <x v="31"/>
    <s v="Francot"/>
    <x v="1"/>
    <x v="33"/>
    <x v="19"/>
    <d v="2021-02-27T00:00:00"/>
    <n v="7133"/>
    <n v="9225"/>
    <n v="9225"/>
    <n v="0"/>
    <n v="0"/>
    <n v="0"/>
    <n v="0"/>
    <n v="92.25"/>
    <n v="2000"/>
    <n v="9133"/>
    <n v="2000"/>
    <m/>
    <n v="9225"/>
    <n v="1384"/>
    <x v="10"/>
    <x v="12"/>
    <x v="1"/>
    <x v="6"/>
  </r>
  <r>
    <x v="32"/>
    <s v="S33_2021_2"/>
    <x v="0"/>
    <s v="Maintenance"/>
    <x v="32"/>
    <s v="Perolin"/>
    <x v="1"/>
    <x v="33"/>
    <x v="19"/>
    <d v="2021-02-27T00:00:00"/>
    <n v="190000"/>
    <n v="193939"/>
    <n v="193939"/>
    <n v="0"/>
    <n v="0"/>
    <n v="0"/>
    <n v="0"/>
    <n v="1939.39"/>
    <n v="2000"/>
    <n v="192000"/>
    <n v="2000"/>
    <m/>
    <n v="193939"/>
    <n v="29091"/>
    <x v="11"/>
    <x v="0"/>
    <x v="1"/>
    <x v="6"/>
  </r>
  <r>
    <x v="30"/>
    <s v="S31_2021_2"/>
    <x v="2"/>
    <s v="Maintenance"/>
    <x v="30"/>
    <s v="Fabiolain"/>
    <x v="1"/>
    <x v="33"/>
    <x v="19"/>
    <d v="2021-02-27T00:00:00"/>
    <e v="#REF!"/>
    <n v="147475"/>
    <e v="#REF!"/>
    <n v="0"/>
    <n v="0"/>
    <n v="0"/>
    <n v="0"/>
    <e v="#REF!"/>
    <e v="#REF!"/>
    <e v="#REF!"/>
    <n v="2000"/>
    <m/>
    <e v="#REF!"/>
    <e v="#REF!"/>
    <x v="9"/>
    <x v="11"/>
    <x v="1"/>
    <x v="6"/>
  </r>
  <r>
    <x v="0"/>
    <s v="S01_2021_3"/>
    <x v="0"/>
    <s v="Maintenance"/>
    <x v="0"/>
    <s v="Gaetan"/>
    <x v="0"/>
    <x v="34"/>
    <x v="20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6"/>
  </r>
  <r>
    <x v="1"/>
    <s v="S02_2021_3"/>
    <x v="0"/>
    <s v="Maintenance"/>
    <x v="1"/>
    <s v="Luo"/>
    <x v="1"/>
    <x v="34"/>
    <x v="20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6"/>
  </r>
  <r>
    <x v="2"/>
    <s v="S03_2021_3"/>
    <x v="0"/>
    <s v="Maintenance"/>
    <x v="2"/>
    <s v="Tsilavina"/>
    <x v="1"/>
    <x v="34"/>
    <x v="20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6"/>
  </r>
  <r>
    <x v="4"/>
    <s v="S05_2021_3"/>
    <x v="0"/>
    <s v="Transversal"/>
    <x v="4"/>
    <s v="Florentin"/>
    <x v="3"/>
    <x v="34"/>
    <x v="20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6"/>
  </r>
  <r>
    <x v="5"/>
    <s v="S06_2021_3"/>
    <x v="1"/>
    <s v="Transversal"/>
    <x v="5"/>
    <s v="Michel"/>
    <x v="4"/>
    <x v="34"/>
    <x v="20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6"/>
  </r>
  <r>
    <x v="7"/>
    <s v="S08_2021_3"/>
    <x v="0"/>
    <s v="Transversal"/>
    <x v="7"/>
    <s v="Onja"/>
    <x v="6"/>
    <x v="34"/>
    <x v="20"/>
    <d v="2021-03-26T00:00:00"/>
    <n v="704180"/>
    <n v="772323"/>
    <n v="772323"/>
    <n v="0"/>
    <n v="0"/>
    <n v="0"/>
    <n v="0"/>
    <n v="7723.23"/>
    <n v="60420"/>
    <n v="764600"/>
    <n v="0"/>
    <m/>
    <n v="772323"/>
    <n v="115848"/>
    <x v="2"/>
    <x v="0"/>
    <x v="0"/>
    <x v="6"/>
  </r>
  <r>
    <x v="8"/>
    <s v="S09_2021_3"/>
    <x v="2"/>
    <s v="Maintenance"/>
    <x v="8"/>
    <s v="Rinon"/>
    <x v="1"/>
    <x v="34"/>
    <x v="20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6"/>
  </r>
  <r>
    <x v="9"/>
    <s v="S10_2021_3"/>
    <x v="2"/>
    <s v="Maintenance"/>
    <x v="9"/>
    <s v="Alain"/>
    <x v="7"/>
    <x v="34"/>
    <x v="20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6"/>
  </r>
  <r>
    <x v="10"/>
    <s v="S11_2021_3"/>
    <x v="0"/>
    <s v="Transversal"/>
    <x v="10"/>
    <s v="Raoul"/>
    <x v="8"/>
    <x v="34"/>
    <x v="20"/>
    <d v="2021-03-26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6"/>
  </r>
  <r>
    <x v="11"/>
    <s v="S12_2021_3"/>
    <x v="0"/>
    <s v="Transversal"/>
    <x v="11"/>
    <s v="Benedictine"/>
    <x v="9"/>
    <x v="34"/>
    <x v="20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6"/>
  </r>
  <r>
    <x v="12"/>
    <s v="S13_2021_3"/>
    <x v="1"/>
    <s v="Transversal"/>
    <x v="12"/>
    <s v="Herizo"/>
    <x v="10"/>
    <x v="34"/>
    <x v="20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6"/>
  </r>
  <r>
    <x v="13"/>
    <s v="S14_2021_3"/>
    <x v="0"/>
    <s v="Transversal"/>
    <x v="13"/>
    <s v="Rene"/>
    <x v="8"/>
    <x v="34"/>
    <x v="20"/>
    <d v="2021-03-26T00:00:00"/>
    <n v="408500"/>
    <n v="301641"/>
    <n v="414684"/>
    <n v="22592"/>
    <n v="17213"/>
    <n v="0"/>
    <n v="59"/>
    <n v="4146.84"/>
    <n v="2000"/>
    <n v="410537"/>
    <n v="6000"/>
    <m/>
    <n v="414684"/>
    <n v="62203"/>
    <x v="1"/>
    <x v="0"/>
    <x v="4"/>
    <x v="6"/>
  </r>
  <r>
    <x v="14"/>
    <s v="S15_2021_3"/>
    <x v="2"/>
    <s v="Transversal"/>
    <x v="14"/>
    <s v="Chrisos"/>
    <x v="11"/>
    <x v="34"/>
    <x v="20"/>
    <d v="2021-03-26T00:00:00"/>
    <n v="954000"/>
    <n v="1087753"/>
    <n v="1087753"/>
    <n v="0"/>
    <n v="0"/>
    <n v="0"/>
    <n v="0"/>
    <n v="10877.53"/>
    <n v="122875"/>
    <n v="1076875"/>
    <n v="0"/>
    <m/>
    <n v="1087753"/>
    <n v="163163"/>
    <x v="1"/>
    <x v="5"/>
    <x v="0"/>
    <x v="6"/>
  </r>
  <r>
    <x v="15"/>
    <s v="S16_2021_3"/>
    <x v="0"/>
    <s v="Maintenance"/>
    <x v="15"/>
    <s v="Victorien"/>
    <x v="7"/>
    <x v="34"/>
    <x v="20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6"/>
  </r>
  <r>
    <x v="16"/>
    <s v="S17_2021_3"/>
    <x v="0"/>
    <s v="Transversal"/>
    <x v="16"/>
    <s v="Velonasy"/>
    <x v="8"/>
    <x v="34"/>
    <x v="20"/>
    <d v="2021-03-26T00:00:00"/>
    <n v="403600"/>
    <n v="301641"/>
    <n v="409719"/>
    <n v="22592"/>
    <n v="17213"/>
    <n v="0"/>
    <n v="55"/>
    <n v="4097.1899999999996"/>
    <n v="2000"/>
    <n v="405622"/>
    <n v="6000"/>
    <m/>
    <n v="409719"/>
    <n v="61458"/>
    <x v="1"/>
    <x v="0"/>
    <x v="4"/>
    <x v="6"/>
  </r>
  <r>
    <x v="18"/>
    <s v="S19_2021_3"/>
    <x v="0"/>
    <s v="Maintenance"/>
    <x v="18"/>
    <s v="Faly"/>
    <x v="7"/>
    <x v="34"/>
    <x v="20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6"/>
  </r>
  <r>
    <x v="19"/>
    <s v="S20_2021_3"/>
    <x v="3"/>
    <s v="Maintenance"/>
    <x v="19"/>
    <s v="Manitrasina"/>
    <x v="1"/>
    <x v="34"/>
    <x v="20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6"/>
  </r>
  <r>
    <x v="22"/>
    <s v="S23_2021_3"/>
    <x v="2"/>
    <s v="Transversal"/>
    <x v="22"/>
    <s v="Boris"/>
    <x v="13"/>
    <x v="34"/>
    <x v="20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7"/>
    <x v="8"/>
    <x v="3"/>
    <x v="6"/>
  </r>
  <r>
    <x v="23"/>
    <s v="S24_2021_3"/>
    <x v="2"/>
    <s v="Transversal"/>
    <x v="23"/>
    <s v="Christophe"/>
    <x v="14"/>
    <x v="34"/>
    <x v="20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6"/>
  </r>
  <r>
    <x v="24"/>
    <s v="S25_2021_3"/>
    <x v="2"/>
    <s v="Maintenance"/>
    <x v="24"/>
    <s v="Doris"/>
    <x v="1"/>
    <x v="34"/>
    <x v="20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6"/>
  </r>
  <r>
    <x v="25"/>
    <s v="S26_2021_3"/>
    <x v="0"/>
    <s v="Construction"/>
    <x v="25"/>
    <s v="Anicet"/>
    <x v="5"/>
    <x v="34"/>
    <x v="20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6"/>
  </r>
  <r>
    <x v="27"/>
    <s v="S28_2021_3"/>
    <x v="2"/>
    <s v="Construction"/>
    <x v="27"/>
    <s v="Rodin"/>
    <x v="1"/>
    <x v="34"/>
    <x v="20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6"/>
  </r>
  <r>
    <x v="29"/>
    <s v="S30_2021_3"/>
    <x v="2"/>
    <s v="Transversal"/>
    <x v="29"/>
    <s v="Marie Jeanne"/>
    <x v="9"/>
    <x v="34"/>
    <x v="20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6"/>
  </r>
  <r>
    <x v="31"/>
    <s v="S32_2021_3"/>
    <x v="0"/>
    <s v="Maintenance"/>
    <x v="31"/>
    <s v="Francot"/>
    <x v="1"/>
    <x v="34"/>
    <x v="20"/>
    <d v="2021-03-26T00:00:00"/>
    <n v="8800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6"/>
  </r>
  <r>
    <x v="32"/>
    <s v="S33_2021_3"/>
    <x v="0"/>
    <s v="Maintenance"/>
    <x v="32"/>
    <s v="Perolin"/>
    <x v="1"/>
    <x v="34"/>
    <x v="20"/>
    <d v="2021-03-26T00:00:00"/>
    <n v="9900"/>
    <n v="12000"/>
    <n v="12000"/>
    <n v="0"/>
    <n v="0"/>
    <n v="0"/>
    <n v="0"/>
    <n v="120"/>
    <n v="2000"/>
    <n v="11880"/>
    <n v="2000"/>
    <m/>
    <n v="12000"/>
    <n v="1800"/>
    <x v="11"/>
    <x v="0"/>
    <x v="1"/>
    <x v="6"/>
  </r>
  <r>
    <x v="30"/>
    <s v="S31_2021_3"/>
    <x v="2"/>
    <s v="Maintenance"/>
    <x v="30"/>
    <s v="Fabiolain"/>
    <x v="1"/>
    <x v="34"/>
    <x v="20"/>
    <d v="2021-03-26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6"/>
  </r>
  <r>
    <x v="33"/>
    <s v="S34_2021_3"/>
    <x v="1"/>
    <s v="Transversal"/>
    <x v="33"/>
    <s v="Valérie"/>
    <x v="16"/>
    <x v="34"/>
    <x v="20"/>
    <d v="2021-03-26T00:00:00"/>
    <n v="315000"/>
    <n v="320202"/>
    <n v="320202"/>
    <n v="0"/>
    <n v="0"/>
    <n v="0"/>
    <n v="0"/>
    <n v="3202.02"/>
    <n v="2000"/>
    <n v="317000"/>
    <n v="6000"/>
    <m/>
    <n v="320202"/>
    <n v="48030"/>
    <x v="12"/>
    <x v="0"/>
    <x v="0"/>
    <x v="6"/>
  </r>
  <r>
    <x v="34"/>
    <s v="S35_2021_3"/>
    <x v="3"/>
    <s v="Maintenance"/>
    <x v="34"/>
    <s v="Patrick"/>
    <x v="17"/>
    <x v="34"/>
    <x v="20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6"/>
  </r>
  <r>
    <x v="0"/>
    <s v="S01_2021_4"/>
    <x v="0"/>
    <s v="Maintenance"/>
    <x v="0"/>
    <s v="Gaetan"/>
    <x v="0"/>
    <x v="35"/>
    <x v="21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7"/>
  </r>
  <r>
    <x v="1"/>
    <s v="S02_2021_4"/>
    <x v="0"/>
    <s v="Maintenance"/>
    <x v="1"/>
    <s v="Luo"/>
    <x v="1"/>
    <x v="35"/>
    <x v="21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7"/>
  </r>
  <r>
    <x v="2"/>
    <s v="S03_2021_4"/>
    <x v="0"/>
    <s v="Maintenance"/>
    <x v="2"/>
    <s v="Tsilavina"/>
    <x v="1"/>
    <x v="35"/>
    <x v="21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7"/>
  </r>
  <r>
    <x v="4"/>
    <s v="S05_2021_4"/>
    <x v="0"/>
    <s v="Transversal"/>
    <x v="4"/>
    <s v="Florentin"/>
    <x v="3"/>
    <x v="35"/>
    <x v="21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7"/>
  </r>
  <r>
    <x v="5"/>
    <s v="S06_2021_4"/>
    <x v="1"/>
    <s v="Transversal"/>
    <x v="5"/>
    <s v="Michel"/>
    <x v="4"/>
    <x v="35"/>
    <x v="21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7"/>
  </r>
  <r>
    <x v="7"/>
    <s v="S08_2021_4"/>
    <x v="0"/>
    <s v="Transversal"/>
    <x v="7"/>
    <s v="Onja"/>
    <x v="6"/>
    <x v="35"/>
    <x v="21"/>
    <d v="2021-03-26T00:00:00"/>
    <n v="704180"/>
    <n v="772323"/>
    <n v="772323"/>
    <n v="0"/>
    <n v="0"/>
    <n v="0"/>
    <n v="0"/>
    <n v="7723.23"/>
    <n v="60420"/>
    <n v="764600"/>
    <n v="0"/>
    <m/>
    <n v="772323"/>
    <n v="115848"/>
    <x v="2"/>
    <x v="0"/>
    <x v="0"/>
    <x v="7"/>
  </r>
  <r>
    <x v="8"/>
    <s v="S09_2021_4"/>
    <x v="2"/>
    <s v="Maintenance"/>
    <x v="8"/>
    <s v="Rinon"/>
    <x v="1"/>
    <x v="35"/>
    <x v="21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7"/>
  </r>
  <r>
    <x v="9"/>
    <s v="S10_2021_4"/>
    <x v="2"/>
    <s v="Maintenance"/>
    <x v="9"/>
    <s v="Alain"/>
    <x v="7"/>
    <x v="35"/>
    <x v="21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7"/>
  </r>
  <r>
    <x v="10"/>
    <s v="S11_2021_4"/>
    <x v="0"/>
    <s v="Transversal"/>
    <x v="10"/>
    <s v="Raoul"/>
    <x v="8"/>
    <x v="35"/>
    <x v="21"/>
    <d v="2021-04-28T00:00:00"/>
    <n v="385200"/>
    <n v="301641"/>
    <n v="391099"/>
    <n v="22592"/>
    <n v="17213"/>
    <n v="1"/>
    <n v="35"/>
    <n v="3910.99"/>
    <n v="2000"/>
    <n v="387188"/>
    <n v="6000"/>
    <m/>
    <n v="391099"/>
    <n v="58665"/>
    <x v="1"/>
    <x v="0"/>
    <x v="4"/>
    <x v="7"/>
  </r>
  <r>
    <x v="11"/>
    <s v="S12_2021_4"/>
    <x v="0"/>
    <s v="Transversal"/>
    <x v="11"/>
    <s v="Benedictine"/>
    <x v="9"/>
    <x v="35"/>
    <x v="21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7"/>
  </r>
  <r>
    <x v="12"/>
    <s v="S13_2021_4"/>
    <x v="1"/>
    <s v="Transversal"/>
    <x v="12"/>
    <s v="Herizo"/>
    <x v="10"/>
    <x v="35"/>
    <x v="21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7"/>
  </r>
  <r>
    <x v="13"/>
    <s v="S14_2021_4"/>
    <x v="0"/>
    <s v="Transversal"/>
    <x v="13"/>
    <s v="Rene"/>
    <x v="8"/>
    <x v="35"/>
    <x v="21"/>
    <d v="2021-04-28T00:00:00"/>
    <n v="397500"/>
    <n v="301641"/>
    <n v="403512"/>
    <n v="22592"/>
    <n v="17213"/>
    <n v="1"/>
    <n v="45"/>
    <n v="4035.12"/>
    <n v="2000"/>
    <n v="399477"/>
    <n v="6000"/>
    <m/>
    <n v="403512"/>
    <n v="60527"/>
    <x v="1"/>
    <x v="0"/>
    <x v="4"/>
    <x v="7"/>
  </r>
  <r>
    <x v="14"/>
    <s v="S15_2021_4"/>
    <x v="2"/>
    <s v="Transversal"/>
    <x v="14"/>
    <s v="Chrisos"/>
    <x v="11"/>
    <x v="35"/>
    <x v="21"/>
    <d v="2021-03-26T00:00:00"/>
    <n v="954000"/>
    <n v="1087753"/>
    <n v="1087753"/>
    <n v="0"/>
    <n v="0"/>
    <n v="0"/>
    <n v="0"/>
    <n v="10877.53"/>
    <n v="122875"/>
    <n v="1076875"/>
    <n v="0"/>
    <m/>
    <n v="1087753"/>
    <n v="163163"/>
    <x v="1"/>
    <x v="5"/>
    <x v="0"/>
    <x v="7"/>
  </r>
  <r>
    <x v="15"/>
    <s v="S16_2021_4"/>
    <x v="0"/>
    <s v="Maintenance"/>
    <x v="15"/>
    <s v="Victorien"/>
    <x v="7"/>
    <x v="35"/>
    <x v="21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7"/>
  </r>
  <r>
    <x v="16"/>
    <s v="S17_2021_4"/>
    <x v="0"/>
    <s v="Transversal"/>
    <x v="16"/>
    <s v="Velonasy"/>
    <x v="8"/>
    <x v="35"/>
    <x v="21"/>
    <d v="2021-04-28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7"/>
  </r>
  <r>
    <x v="18"/>
    <s v="S19_2021_4"/>
    <x v="0"/>
    <s v="Maintenance"/>
    <x v="18"/>
    <s v="Faly"/>
    <x v="7"/>
    <x v="35"/>
    <x v="21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7"/>
  </r>
  <r>
    <x v="19"/>
    <s v="S20_2021_4"/>
    <x v="3"/>
    <s v="Maintenance"/>
    <x v="19"/>
    <s v="Manitrasina"/>
    <x v="1"/>
    <x v="35"/>
    <x v="21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7"/>
  </r>
  <r>
    <x v="22"/>
    <s v="S23_2021_4"/>
    <x v="2"/>
    <s v="Transversal"/>
    <x v="22"/>
    <s v="Boris"/>
    <x v="13"/>
    <x v="35"/>
    <x v="21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7"/>
    <x v="8"/>
    <x v="3"/>
    <x v="7"/>
  </r>
  <r>
    <x v="23"/>
    <s v="S24_2021_4"/>
    <x v="2"/>
    <s v="Transversal"/>
    <x v="23"/>
    <s v="Christophe"/>
    <x v="14"/>
    <x v="35"/>
    <x v="21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7"/>
  </r>
  <r>
    <x v="24"/>
    <s v="S25_2021_4"/>
    <x v="2"/>
    <s v="Maintenance"/>
    <x v="24"/>
    <s v="Doris"/>
    <x v="1"/>
    <x v="35"/>
    <x v="21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7"/>
  </r>
  <r>
    <x v="25"/>
    <s v="S26_2021_4"/>
    <x v="0"/>
    <s v="Construction"/>
    <x v="25"/>
    <s v="Anicet"/>
    <x v="5"/>
    <x v="35"/>
    <x v="21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7"/>
  </r>
  <r>
    <x v="27"/>
    <s v="S28_2021_4"/>
    <x v="2"/>
    <s v="Construction"/>
    <x v="27"/>
    <s v="Rodin"/>
    <x v="1"/>
    <x v="35"/>
    <x v="21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7"/>
  </r>
  <r>
    <x v="29"/>
    <s v="S30_2021_4"/>
    <x v="2"/>
    <s v="Transversal"/>
    <x v="29"/>
    <s v="Marie Jeanne"/>
    <x v="9"/>
    <x v="35"/>
    <x v="21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7"/>
  </r>
  <r>
    <x v="31"/>
    <s v="S32_2021_4"/>
    <x v="0"/>
    <s v="Maintenance"/>
    <x v="31"/>
    <s v="Francot"/>
    <x v="1"/>
    <x v="35"/>
    <x v="21"/>
    <d v="2021-03-26T00:00:00"/>
    <n v="8800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7"/>
  </r>
  <r>
    <x v="32"/>
    <s v="S33_2021_4"/>
    <x v="0"/>
    <s v="Maintenance"/>
    <x v="32"/>
    <s v="Perolin"/>
    <x v="1"/>
    <x v="35"/>
    <x v="21"/>
    <d v="2021-03-26T00:00:00"/>
    <n v="9900"/>
    <n v="12000"/>
    <n v="12000"/>
    <n v="0"/>
    <n v="0"/>
    <n v="0"/>
    <n v="0"/>
    <n v="120"/>
    <n v="2000"/>
    <n v="11880"/>
    <n v="2000"/>
    <m/>
    <n v="12000"/>
    <n v="1800"/>
    <x v="11"/>
    <x v="0"/>
    <x v="1"/>
    <x v="7"/>
  </r>
  <r>
    <x v="30"/>
    <s v="S31_2021_4"/>
    <x v="2"/>
    <s v="Maintenance"/>
    <x v="30"/>
    <s v="Fabiolain"/>
    <x v="1"/>
    <x v="35"/>
    <x v="21"/>
    <d v="2021-03-26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7"/>
  </r>
  <r>
    <x v="33"/>
    <s v="S34_2021_4"/>
    <x v="1"/>
    <s v="Transversal"/>
    <x v="33"/>
    <s v="Valérie"/>
    <x v="16"/>
    <x v="35"/>
    <x v="21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7"/>
  </r>
  <r>
    <x v="34"/>
    <s v="S35_2021_4"/>
    <x v="3"/>
    <s v="Maintenance"/>
    <x v="34"/>
    <s v="Patrick"/>
    <x v="17"/>
    <x v="35"/>
    <x v="21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7"/>
  </r>
  <r>
    <x v="0"/>
    <s v="S01_2021_5"/>
    <x v="0"/>
    <s v="Maintenance"/>
    <x v="0"/>
    <s v="Gaetan"/>
    <x v="0"/>
    <x v="36"/>
    <x v="22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7"/>
  </r>
  <r>
    <x v="1"/>
    <s v="S02_2021_5"/>
    <x v="0"/>
    <s v="Maintenance"/>
    <x v="1"/>
    <s v="Luo"/>
    <x v="1"/>
    <x v="36"/>
    <x v="22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7"/>
  </r>
  <r>
    <x v="2"/>
    <s v="S03_2021_5"/>
    <x v="0"/>
    <s v="Maintenance"/>
    <x v="2"/>
    <s v="Tsilavina"/>
    <x v="1"/>
    <x v="36"/>
    <x v="22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7"/>
  </r>
  <r>
    <x v="4"/>
    <s v="S05_2021_5"/>
    <x v="0"/>
    <s v="Transversal"/>
    <x v="4"/>
    <s v="Florentin"/>
    <x v="3"/>
    <x v="36"/>
    <x v="22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7"/>
  </r>
  <r>
    <x v="5"/>
    <s v="S06_2021_5"/>
    <x v="1"/>
    <s v="Transversal"/>
    <x v="5"/>
    <s v="Michel"/>
    <x v="4"/>
    <x v="36"/>
    <x v="22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7"/>
  </r>
  <r>
    <x v="7"/>
    <s v="S08_2021_5"/>
    <x v="0"/>
    <s v="Transversal"/>
    <x v="7"/>
    <s v="Onja"/>
    <x v="6"/>
    <x v="36"/>
    <x v="22"/>
    <d v="2021-03-26T00:00:00"/>
    <n v="704180"/>
    <n v="772323"/>
    <n v="772323"/>
    <n v="0"/>
    <n v="0"/>
    <n v="0"/>
    <n v="0"/>
    <n v="7723.23"/>
    <n v="60420"/>
    <n v="764600"/>
    <n v="0"/>
    <m/>
    <n v="772323"/>
    <n v="115848"/>
    <x v="2"/>
    <x v="0"/>
    <x v="0"/>
    <x v="7"/>
  </r>
  <r>
    <x v="8"/>
    <s v="S09_2021_5"/>
    <x v="2"/>
    <s v="Maintenance"/>
    <x v="8"/>
    <s v="Rinon"/>
    <x v="1"/>
    <x v="36"/>
    <x v="22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7"/>
  </r>
  <r>
    <x v="9"/>
    <s v="S10_2021_5"/>
    <x v="2"/>
    <s v="Maintenance"/>
    <x v="9"/>
    <s v="Alain"/>
    <x v="7"/>
    <x v="36"/>
    <x v="22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7"/>
  </r>
  <r>
    <x v="10"/>
    <s v="S11_2021_5"/>
    <x v="0"/>
    <s v="Transversal"/>
    <x v="10"/>
    <s v="Raoul"/>
    <x v="8"/>
    <x v="36"/>
    <x v="22"/>
    <d v="2021-05-27T00:00:00"/>
    <n v="348320"/>
    <n v="301641"/>
    <n v="353859"/>
    <n v="22592"/>
    <n v="17213"/>
    <n v="2"/>
    <n v="0"/>
    <n v="3538.59"/>
    <n v="2000"/>
    <n v="350320"/>
    <n v="6000"/>
    <m/>
    <n v="353859"/>
    <n v="53079"/>
    <x v="1"/>
    <x v="0"/>
    <x v="4"/>
    <x v="7"/>
  </r>
  <r>
    <x v="11"/>
    <s v="S12_2021_5"/>
    <x v="0"/>
    <s v="Transversal"/>
    <x v="11"/>
    <s v="Benedictine"/>
    <x v="9"/>
    <x v="36"/>
    <x v="22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7"/>
  </r>
  <r>
    <x v="12"/>
    <s v="S13_2021_5"/>
    <x v="1"/>
    <s v="Transversal"/>
    <x v="12"/>
    <s v="Herizo"/>
    <x v="10"/>
    <x v="36"/>
    <x v="22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7"/>
  </r>
  <r>
    <x v="13"/>
    <s v="S14_2021_5"/>
    <x v="0"/>
    <s v="Transversal"/>
    <x v="13"/>
    <s v="Rene"/>
    <x v="8"/>
    <x v="36"/>
    <x v="22"/>
    <d v="2021-05-27T00:00:00"/>
    <n v="343400"/>
    <n v="301641"/>
    <n v="348894"/>
    <n v="22592"/>
    <n v="17213"/>
    <n v="1"/>
    <n v="1"/>
    <n v="3488.94"/>
    <n v="2000"/>
    <n v="345405"/>
    <n v="6000"/>
    <m/>
    <n v="348894"/>
    <n v="52334"/>
    <x v="1"/>
    <x v="0"/>
    <x v="4"/>
    <x v="7"/>
  </r>
  <r>
    <x v="14"/>
    <s v="S15_2021_5"/>
    <x v="2"/>
    <s v="Transversal"/>
    <x v="14"/>
    <s v="Chrisos"/>
    <x v="11"/>
    <x v="36"/>
    <x v="22"/>
    <d v="2021-03-26T00:00:00"/>
    <n v="954000"/>
    <n v="1087753"/>
    <n v="1087753"/>
    <n v="0"/>
    <n v="0"/>
    <n v="0"/>
    <n v="0"/>
    <n v="10877.53"/>
    <n v="122875"/>
    <n v="1076875"/>
    <n v="0"/>
    <m/>
    <n v="1087753"/>
    <n v="163163"/>
    <x v="1"/>
    <x v="5"/>
    <x v="0"/>
    <x v="7"/>
  </r>
  <r>
    <x v="15"/>
    <s v="S16_2021_5"/>
    <x v="0"/>
    <s v="Maintenance"/>
    <x v="15"/>
    <s v="Victorien"/>
    <x v="7"/>
    <x v="36"/>
    <x v="22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7"/>
  </r>
  <r>
    <x v="16"/>
    <s v="S17_2021_5"/>
    <x v="0"/>
    <s v="Transversal"/>
    <x v="16"/>
    <s v="Velonasy"/>
    <x v="8"/>
    <x v="36"/>
    <x v="22"/>
    <d v="2021-05-27T00:00:00"/>
    <n v="342200"/>
    <n v="301641"/>
    <n v="347653"/>
    <n v="22592"/>
    <n v="17213"/>
    <n v="1"/>
    <n v="0"/>
    <n v="3476.53"/>
    <n v="2000"/>
    <n v="344176"/>
    <n v="6000"/>
    <m/>
    <n v="347653"/>
    <n v="52148"/>
    <x v="1"/>
    <x v="0"/>
    <x v="4"/>
    <x v="7"/>
  </r>
  <r>
    <x v="18"/>
    <s v="S19_2021_5"/>
    <x v="0"/>
    <s v="Maintenance"/>
    <x v="18"/>
    <s v="Faly"/>
    <x v="7"/>
    <x v="36"/>
    <x v="22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7"/>
  </r>
  <r>
    <x v="19"/>
    <s v="S20_2021_5"/>
    <x v="3"/>
    <s v="Maintenance"/>
    <x v="19"/>
    <s v="Manitrasina"/>
    <x v="1"/>
    <x v="36"/>
    <x v="22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7"/>
  </r>
  <r>
    <x v="22"/>
    <s v="S23_2021_5"/>
    <x v="2"/>
    <s v="Transversal"/>
    <x v="22"/>
    <s v="Boris"/>
    <x v="13"/>
    <x v="36"/>
    <x v="22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7"/>
    <x v="8"/>
    <x v="3"/>
    <x v="7"/>
  </r>
  <r>
    <x v="23"/>
    <s v="S24_2021_5"/>
    <x v="2"/>
    <s v="Transversal"/>
    <x v="23"/>
    <s v="Christophe"/>
    <x v="14"/>
    <x v="36"/>
    <x v="22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7"/>
  </r>
  <r>
    <x v="24"/>
    <s v="S25_2021_5"/>
    <x v="2"/>
    <s v="Maintenance"/>
    <x v="24"/>
    <s v="Doris"/>
    <x v="1"/>
    <x v="36"/>
    <x v="22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7"/>
  </r>
  <r>
    <x v="25"/>
    <s v="S26_2021_5"/>
    <x v="0"/>
    <s v="Construction"/>
    <x v="25"/>
    <s v="Anicet"/>
    <x v="5"/>
    <x v="36"/>
    <x v="22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7"/>
  </r>
  <r>
    <x v="27"/>
    <s v="S28_2021_5"/>
    <x v="2"/>
    <s v="Construction"/>
    <x v="27"/>
    <s v="Rodin"/>
    <x v="1"/>
    <x v="36"/>
    <x v="22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7"/>
  </r>
  <r>
    <x v="29"/>
    <s v="S30_2021_5"/>
    <x v="2"/>
    <s v="Transversal"/>
    <x v="29"/>
    <s v="Marie Jeanne"/>
    <x v="9"/>
    <x v="36"/>
    <x v="22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7"/>
  </r>
  <r>
    <x v="31"/>
    <s v="S32_2021_5"/>
    <x v="0"/>
    <s v="Maintenance"/>
    <x v="31"/>
    <s v="Francot"/>
    <x v="1"/>
    <x v="36"/>
    <x v="22"/>
    <d v="2021-03-26T00:00:00"/>
    <n v="8800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7"/>
  </r>
  <r>
    <x v="32"/>
    <s v="S33_2021_5"/>
    <x v="0"/>
    <s v="Maintenance"/>
    <x v="32"/>
    <s v="Perolin"/>
    <x v="1"/>
    <x v="36"/>
    <x v="22"/>
    <d v="2021-03-26T00:00:00"/>
    <n v="9900"/>
    <n v="12000"/>
    <n v="12000"/>
    <n v="0"/>
    <n v="0"/>
    <n v="0"/>
    <n v="0"/>
    <n v="120"/>
    <n v="2000"/>
    <n v="11880"/>
    <n v="2000"/>
    <m/>
    <n v="12000"/>
    <n v="1800"/>
    <x v="11"/>
    <x v="0"/>
    <x v="1"/>
    <x v="7"/>
  </r>
  <r>
    <x v="30"/>
    <s v="S31_2021_5"/>
    <x v="2"/>
    <s v="Maintenance"/>
    <x v="30"/>
    <s v="Fabiolain"/>
    <x v="1"/>
    <x v="36"/>
    <x v="22"/>
    <d v="2021-05-27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7"/>
  </r>
  <r>
    <x v="33"/>
    <s v="S34_2021_5"/>
    <x v="1"/>
    <s v="Transversal"/>
    <x v="33"/>
    <s v="Valérie"/>
    <x v="16"/>
    <x v="36"/>
    <x v="22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7"/>
  </r>
  <r>
    <x v="34"/>
    <s v="S35_2021_5"/>
    <x v="3"/>
    <s v="Maintenance"/>
    <x v="34"/>
    <s v="Patrick"/>
    <x v="17"/>
    <x v="36"/>
    <x v="22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7"/>
  </r>
  <r>
    <x v="0"/>
    <s v="S01_2021_6"/>
    <x v="0"/>
    <s v="Maintenance"/>
    <x v="0"/>
    <s v="Gaetan"/>
    <x v="0"/>
    <x v="37"/>
    <x v="23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7"/>
  </r>
  <r>
    <x v="1"/>
    <s v="S02_2021_6"/>
    <x v="0"/>
    <s v="Maintenance"/>
    <x v="1"/>
    <s v="Luo"/>
    <x v="1"/>
    <x v="37"/>
    <x v="23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7"/>
  </r>
  <r>
    <x v="2"/>
    <s v="S03_2021_6"/>
    <x v="0"/>
    <s v="Maintenance"/>
    <x v="2"/>
    <s v="Tsilavina"/>
    <x v="1"/>
    <x v="37"/>
    <x v="23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7"/>
  </r>
  <r>
    <x v="4"/>
    <s v="S05_2021_6"/>
    <x v="0"/>
    <s v="Transversal"/>
    <x v="4"/>
    <s v="Florentin"/>
    <x v="3"/>
    <x v="37"/>
    <x v="23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7"/>
  </r>
  <r>
    <x v="5"/>
    <s v="S06_2021_6"/>
    <x v="1"/>
    <s v="Transversal"/>
    <x v="5"/>
    <s v="Michel"/>
    <x v="4"/>
    <x v="37"/>
    <x v="23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7"/>
  </r>
  <r>
    <x v="7"/>
    <s v="S08_2021_6"/>
    <x v="0"/>
    <s v="Transversal"/>
    <x v="7"/>
    <s v="Onja"/>
    <x v="6"/>
    <x v="37"/>
    <x v="23"/>
    <d v="2021-03-26T00:00:00"/>
    <n v="704180"/>
    <n v="772323"/>
    <n v="772323"/>
    <n v="0"/>
    <n v="0"/>
    <n v="0"/>
    <n v="0"/>
    <n v="7723.23"/>
    <n v="60420"/>
    <n v="764600"/>
    <n v="0"/>
    <m/>
    <n v="772323"/>
    <n v="115848"/>
    <x v="2"/>
    <x v="0"/>
    <x v="0"/>
    <x v="7"/>
  </r>
  <r>
    <x v="8"/>
    <s v="S09_2021_6"/>
    <x v="2"/>
    <s v="Maintenance"/>
    <x v="8"/>
    <s v="Rinon"/>
    <x v="1"/>
    <x v="37"/>
    <x v="23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7"/>
  </r>
  <r>
    <x v="9"/>
    <s v="S10_2021_6"/>
    <x v="2"/>
    <s v="Maintenance"/>
    <x v="9"/>
    <s v="Alain"/>
    <x v="7"/>
    <x v="37"/>
    <x v="23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7"/>
  </r>
  <r>
    <x v="10"/>
    <s v="S11_2021_6"/>
    <x v="0"/>
    <s v="Transversal"/>
    <x v="10"/>
    <s v="Raoul"/>
    <x v="8"/>
    <x v="37"/>
    <x v="23"/>
    <d v="2021-06-24T00:00:00"/>
    <n v="402400"/>
    <n v="301641"/>
    <n v="408478"/>
    <n v="22592"/>
    <n v="17213"/>
    <n v="1"/>
    <n v="49"/>
    <n v="4084.78"/>
    <n v="2000"/>
    <n v="404393"/>
    <n v="6000"/>
    <m/>
    <n v="408478"/>
    <n v="61272"/>
    <x v="1"/>
    <x v="0"/>
    <x v="4"/>
    <x v="7"/>
  </r>
  <r>
    <x v="11"/>
    <s v="S12_2021_6"/>
    <x v="0"/>
    <s v="Transversal"/>
    <x v="11"/>
    <s v="Benedictine"/>
    <x v="9"/>
    <x v="37"/>
    <x v="23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7"/>
  </r>
  <r>
    <x v="12"/>
    <s v="S13_2021_6"/>
    <x v="1"/>
    <s v="Transversal"/>
    <x v="12"/>
    <s v="Herizo"/>
    <x v="10"/>
    <x v="37"/>
    <x v="23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7"/>
  </r>
  <r>
    <x v="13"/>
    <s v="S14_2021_6"/>
    <x v="0"/>
    <s v="Transversal"/>
    <x v="13"/>
    <s v="Rene"/>
    <x v="8"/>
    <x v="37"/>
    <x v="23"/>
    <d v="2021-06-24T00:00:00"/>
    <n v="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7"/>
  </r>
  <r>
    <x v="14"/>
    <s v="S15_2021_6"/>
    <x v="2"/>
    <s v="Transversal"/>
    <x v="14"/>
    <s v="Chrisos"/>
    <x v="11"/>
    <x v="37"/>
    <x v="23"/>
    <d v="2021-03-26T00:00:00"/>
    <n v="954000"/>
    <n v="1087753"/>
    <n v="1087753"/>
    <n v="0"/>
    <n v="0"/>
    <n v="0"/>
    <n v="0"/>
    <n v="10877.53"/>
    <n v="122875"/>
    <n v="1076875"/>
    <n v="0"/>
    <m/>
    <n v="1087753"/>
    <n v="163163"/>
    <x v="1"/>
    <x v="5"/>
    <x v="0"/>
    <x v="7"/>
  </r>
  <r>
    <x v="15"/>
    <s v="S16_2021_6"/>
    <x v="0"/>
    <s v="Maintenance"/>
    <x v="15"/>
    <s v="Victorien"/>
    <x v="7"/>
    <x v="37"/>
    <x v="23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7"/>
  </r>
  <r>
    <x v="16"/>
    <s v="S17_2021_6"/>
    <x v="0"/>
    <s v="Transversal"/>
    <x v="16"/>
    <s v="Velonasy"/>
    <x v="8"/>
    <x v="37"/>
    <x v="23"/>
    <d v="2021-06-24T00:00:00"/>
    <n v="403600"/>
    <n v="301641"/>
    <n v="409719"/>
    <n v="22592"/>
    <n v="17213"/>
    <n v="0"/>
    <n v="55"/>
    <n v="4097.1899999999996"/>
    <n v="2000"/>
    <n v="405622"/>
    <n v="6000"/>
    <m/>
    <n v="409719"/>
    <n v="61458"/>
    <x v="1"/>
    <x v="0"/>
    <x v="4"/>
    <x v="7"/>
  </r>
  <r>
    <x v="18"/>
    <s v="S19_2021_6"/>
    <x v="0"/>
    <s v="Maintenance"/>
    <x v="18"/>
    <s v="Faly"/>
    <x v="7"/>
    <x v="37"/>
    <x v="23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7"/>
  </r>
  <r>
    <x v="19"/>
    <s v="S20_2021_6"/>
    <x v="3"/>
    <s v="Maintenance"/>
    <x v="19"/>
    <s v="Manitrasina"/>
    <x v="1"/>
    <x v="37"/>
    <x v="23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7"/>
  </r>
  <r>
    <x v="22"/>
    <s v="S23_2021_6"/>
    <x v="2"/>
    <s v="Transversal"/>
    <x v="22"/>
    <s v="Boris"/>
    <x v="13"/>
    <x v="37"/>
    <x v="23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7"/>
    <x v="8"/>
    <x v="3"/>
    <x v="7"/>
  </r>
  <r>
    <x v="23"/>
    <s v="S24_2021_6"/>
    <x v="2"/>
    <s v="Transversal"/>
    <x v="23"/>
    <s v="Christophe"/>
    <x v="14"/>
    <x v="37"/>
    <x v="23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7"/>
  </r>
  <r>
    <x v="24"/>
    <s v="S25_2021_6"/>
    <x v="2"/>
    <s v="Maintenance"/>
    <x v="24"/>
    <s v="Doris"/>
    <x v="1"/>
    <x v="37"/>
    <x v="23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7"/>
  </r>
  <r>
    <x v="25"/>
    <s v="S26_2021_6"/>
    <x v="0"/>
    <s v="Construction"/>
    <x v="25"/>
    <s v="Anicet"/>
    <x v="5"/>
    <x v="37"/>
    <x v="23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7"/>
  </r>
  <r>
    <x v="27"/>
    <s v="S28_2021_6"/>
    <x v="2"/>
    <s v="Construction"/>
    <x v="27"/>
    <s v="Rodin"/>
    <x v="1"/>
    <x v="37"/>
    <x v="23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7"/>
  </r>
  <r>
    <x v="29"/>
    <s v="S30_2021_6"/>
    <x v="2"/>
    <s v="Transversal"/>
    <x v="29"/>
    <s v="Marie Jeanne"/>
    <x v="9"/>
    <x v="37"/>
    <x v="23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7"/>
  </r>
  <r>
    <x v="31"/>
    <s v="S32_2021_6"/>
    <x v="0"/>
    <s v="Maintenance"/>
    <x v="31"/>
    <s v="Francot"/>
    <x v="1"/>
    <x v="37"/>
    <x v="23"/>
    <d v="2021-06-24T00:00:00"/>
    <n v="8800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7"/>
  </r>
  <r>
    <x v="32"/>
    <s v="S33_2021_6"/>
    <x v="0"/>
    <s v="Maintenance"/>
    <x v="32"/>
    <s v="Perolin"/>
    <x v="1"/>
    <x v="37"/>
    <x v="23"/>
    <d v="2021-06-24T00:00:00"/>
    <n v="11900"/>
    <n v="12000"/>
    <n v="12000"/>
    <n v="0"/>
    <n v="0"/>
    <n v="0"/>
    <n v="0"/>
    <n v="120"/>
    <n v="2000"/>
    <n v="11880"/>
    <n v="2000"/>
    <m/>
    <n v="12000"/>
    <n v="1800"/>
    <x v="11"/>
    <x v="0"/>
    <x v="1"/>
    <x v="7"/>
  </r>
  <r>
    <x v="30"/>
    <s v="S31_2021_6"/>
    <x v="2"/>
    <s v="Maintenance"/>
    <x v="30"/>
    <s v="Fabiolain"/>
    <x v="1"/>
    <x v="37"/>
    <x v="23"/>
    <d v="2021-06-24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7"/>
  </r>
  <r>
    <x v="33"/>
    <s v="S34_2021_6"/>
    <x v="1"/>
    <s v="Transversal"/>
    <x v="33"/>
    <s v="Valérie"/>
    <x v="16"/>
    <x v="37"/>
    <x v="23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7"/>
  </r>
  <r>
    <x v="34"/>
    <s v="S35_2021_6"/>
    <x v="3"/>
    <s v="Maintenance"/>
    <x v="34"/>
    <s v="Patrick"/>
    <x v="17"/>
    <x v="37"/>
    <x v="23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7"/>
  </r>
  <r>
    <x v="0"/>
    <s v="S01_2021_7"/>
    <x v="0"/>
    <s v="Maintenance"/>
    <x v="0"/>
    <s v="Gaetan"/>
    <x v="0"/>
    <x v="38"/>
    <x v="24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8"/>
  </r>
  <r>
    <x v="1"/>
    <s v="S02_2021_7"/>
    <x v="0"/>
    <s v="Maintenance"/>
    <x v="1"/>
    <s v="Luo"/>
    <x v="1"/>
    <x v="38"/>
    <x v="24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8"/>
  </r>
  <r>
    <x v="2"/>
    <s v="S03_2021_7"/>
    <x v="0"/>
    <s v="Maintenance"/>
    <x v="2"/>
    <s v="Tsilavina"/>
    <x v="1"/>
    <x v="38"/>
    <x v="24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8"/>
  </r>
  <r>
    <x v="4"/>
    <s v="S05_2021_7"/>
    <x v="0"/>
    <s v="Transversal"/>
    <x v="4"/>
    <s v="Florentin"/>
    <x v="3"/>
    <x v="38"/>
    <x v="24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8"/>
  </r>
  <r>
    <x v="5"/>
    <s v="S06_2021_7"/>
    <x v="1"/>
    <s v="Transversal"/>
    <x v="5"/>
    <s v="Michel"/>
    <x v="4"/>
    <x v="38"/>
    <x v="24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8"/>
  </r>
  <r>
    <x v="7"/>
    <s v="S08_2021_7"/>
    <x v="0"/>
    <s v="Transversal"/>
    <x v="7"/>
    <s v="Onja"/>
    <x v="6"/>
    <x v="38"/>
    <x v="24"/>
    <d v="2021-07-27T00:00:00"/>
    <n v="804000"/>
    <n v="898359"/>
    <n v="898359"/>
    <n v="0"/>
    <n v="0"/>
    <n v="0"/>
    <n v="0"/>
    <n v="8983.59"/>
    <n v="85375"/>
    <n v="889375"/>
    <n v="0"/>
    <m/>
    <n v="898359"/>
    <n v="134754"/>
    <x v="2"/>
    <x v="0"/>
    <x v="0"/>
    <x v="8"/>
  </r>
  <r>
    <x v="8"/>
    <s v="S09_2021_7"/>
    <x v="2"/>
    <s v="Maintenance"/>
    <x v="8"/>
    <s v="Rinon"/>
    <x v="1"/>
    <x v="38"/>
    <x v="24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8"/>
  </r>
  <r>
    <x v="9"/>
    <s v="S10_2021_7"/>
    <x v="2"/>
    <s v="Maintenance"/>
    <x v="9"/>
    <s v="Alain"/>
    <x v="7"/>
    <x v="38"/>
    <x v="24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8"/>
  </r>
  <r>
    <x v="10"/>
    <s v="S11_2021_7"/>
    <x v="0"/>
    <s v="Transversal"/>
    <x v="10"/>
    <s v="Raoul"/>
    <x v="8"/>
    <x v="38"/>
    <x v="24"/>
    <d v="2021-07-27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8"/>
  </r>
  <r>
    <x v="11"/>
    <s v="S12_2021_7"/>
    <x v="0"/>
    <s v="Transversal"/>
    <x v="11"/>
    <s v="Benedictine"/>
    <x v="9"/>
    <x v="38"/>
    <x v="24"/>
    <d v="2021-07-27T00:00:00"/>
    <n v="141500"/>
    <n v="144949"/>
    <n v="144949"/>
    <n v="0"/>
    <n v="0"/>
    <n v="0"/>
    <n v="0"/>
    <n v="1449.49"/>
    <n v="2000"/>
    <n v="143500"/>
    <n v="6000"/>
    <m/>
    <n v="144949"/>
    <n v="21742"/>
    <x v="1"/>
    <x v="0"/>
    <x v="5"/>
    <x v="8"/>
  </r>
  <r>
    <x v="12"/>
    <s v="S13_2021_7"/>
    <x v="1"/>
    <s v="Transversal"/>
    <x v="12"/>
    <s v="Herizo"/>
    <x v="10"/>
    <x v="38"/>
    <x v="24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8"/>
  </r>
  <r>
    <x v="13"/>
    <s v="S14_2021_7"/>
    <x v="0"/>
    <s v="Transversal"/>
    <x v="13"/>
    <s v="Rene"/>
    <x v="8"/>
    <x v="38"/>
    <x v="24"/>
    <d v="2021-07-27T00:00:00"/>
    <n v="427000"/>
    <n v="301641"/>
    <n v="433304"/>
    <n v="22592"/>
    <n v="17213"/>
    <n v="1"/>
    <n v="69"/>
    <n v="4333.04"/>
    <n v="2000"/>
    <n v="428971"/>
    <n v="6000"/>
    <m/>
    <n v="433304"/>
    <n v="64996"/>
    <x v="1"/>
    <x v="0"/>
    <x v="4"/>
    <x v="8"/>
  </r>
  <r>
    <x v="14"/>
    <s v="S15_2021_7"/>
    <x v="2"/>
    <s v="Transversal"/>
    <x v="14"/>
    <s v="Chrisos"/>
    <x v="11"/>
    <x v="38"/>
    <x v="24"/>
    <d v="2021-07-27T00:00:00"/>
    <n v="1054000"/>
    <n v="1214015"/>
    <n v="1214015"/>
    <n v="0"/>
    <n v="0"/>
    <n v="0"/>
    <n v="0"/>
    <n v="12140.15"/>
    <n v="147875"/>
    <n v="1201875"/>
    <n v="0"/>
    <m/>
    <n v="1214015"/>
    <n v="182102"/>
    <x v="1"/>
    <x v="5"/>
    <x v="0"/>
    <x v="8"/>
  </r>
  <r>
    <x v="15"/>
    <s v="S16_2021_7"/>
    <x v="0"/>
    <s v="Maintenance"/>
    <x v="15"/>
    <s v="Victorien"/>
    <x v="7"/>
    <x v="38"/>
    <x v="24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8"/>
  </r>
  <r>
    <x v="16"/>
    <s v="S17_2021_7"/>
    <x v="0"/>
    <s v="Transversal"/>
    <x v="16"/>
    <s v="Velonasy"/>
    <x v="8"/>
    <x v="38"/>
    <x v="24"/>
    <d v="2021-07-27T00:00:00"/>
    <n v="408500"/>
    <n v="301641"/>
    <n v="414684"/>
    <n v="22592"/>
    <n v="17213"/>
    <n v="0"/>
    <n v="59"/>
    <n v="4146.84"/>
    <n v="2000"/>
    <n v="410537"/>
    <n v="6000"/>
    <m/>
    <n v="414684"/>
    <n v="62203"/>
    <x v="1"/>
    <x v="0"/>
    <x v="4"/>
    <x v="8"/>
  </r>
  <r>
    <x v="18"/>
    <s v="S19_2021_7"/>
    <x v="0"/>
    <s v="Maintenance"/>
    <x v="18"/>
    <s v="Faly"/>
    <x v="7"/>
    <x v="38"/>
    <x v="24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8"/>
  </r>
  <r>
    <x v="19"/>
    <s v="S20_2021_7"/>
    <x v="3"/>
    <s v="Maintenance"/>
    <x v="19"/>
    <s v="Manitrasina"/>
    <x v="1"/>
    <x v="38"/>
    <x v="24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8"/>
  </r>
  <r>
    <x v="22"/>
    <s v="S23_2021_7"/>
    <x v="2"/>
    <s v="Transversal"/>
    <x v="22"/>
    <s v="Boris"/>
    <x v="13"/>
    <x v="38"/>
    <x v="24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7"/>
    <x v="8"/>
    <x v="3"/>
    <x v="8"/>
  </r>
  <r>
    <x v="23"/>
    <s v="S24_2021_7"/>
    <x v="2"/>
    <s v="Transversal"/>
    <x v="23"/>
    <s v="Christophe"/>
    <x v="14"/>
    <x v="38"/>
    <x v="24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8"/>
  </r>
  <r>
    <x v="24"/>
    <s v="S25_2021_7"/>
    <x v="2"/>
    <s v="Maintenance"/>
    <x v="24"/>
    <s v="Doris"/>
    <x v="1"/>
    <x v="38"/>
    <x v="24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8"/>
  </r>
  <r>
    <x v="25"/>
    <s v="S26_2021_7"/>
    <x v="0"/>
    <s v="Construction"/>
    <x v="25"/>
    <s v="Anicet"/>
    <x v="5"/>
    <x v="38"/>
    <x v="24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8"/>
  </r>
  <r>
    <x v="27"/>
    <s v="S28_2021_7"/>
    <x v="2"/>
    <s v="Construction"/>
    <x v="27"/>
    <s v="Rodin"/>
    <x v="1"/>
    <x v="38"/>
    <x v="24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8"/>
  </r>
  <r>
    <x v="29"/>
    <s v="S30_2021_7"/>
    <x v="2"/>
    <s v="Transversal"/>
    <x v="29"/>
    <s v="Marie Jeanne"/>
    <x v="9"/>
    <x v="38"/>
    <x v="24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8"/>
  </r>
  <r>
    <x v="31"/>
    <s v="S32_2021_7"/>
    <x v="0"/>
    <s v="Maintenance"/>
    <x v="31"/>
    <s v="Francot"/>
    <x v="1"/>
    <x v="38"/>
    <x v="24"/>
    <d v="2021-07-27T00:00:00"/>
    <n v="8800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8"/>
  </r>
  <r>
    <x v="32"/>
    <s v="S33_2021_7"/>
    <x v="0"/>
    <s v="Maintenance"/>
    <x v="32"/>
    <s v="Perolin"/>
    <x v="1"/>
    <x v="38"/>
    <x v="24"/>
    <d v="2021-07-27T00:00:00"/>
    <n v="11900"/>
    <n v="12000"/>
    <n v="12000"/>
    <n v="0"/>
    <n v="0"/>
    <n v="0"/>
    <n v="0"/>
    <n v="120"/>
    <n v="2000"/>
    <n v="11880"/>
    <n v="2000"/>
    <m/>
    <n v="12000"/>
    <n v="1800"/>
    <x v="11"/>
    <x v="0"/>
    <x v="1"/>
    <x v="8"/>
  </r>
  <r>
    <x v="30"/>
    <s v="S31_2021_7"/>
    <x v="2"/>
    <s v="Maintenance"/>
    <x v="30"/>
    <s v="Fabiolain"/>
    <x v="1"/>
    <x v="38"/>
    <x v="24"/>
    <d v="2021-07-27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8"/>
  </r>
  <r>
    <x v="33"/>
    <s v="S34_2021_7"/>
    <x v="1"/>
    <s v="Transversal"/>
    <x v="33"/>
    <s v="Valérie"/>
    <x v="16"/>
    <x v="38"/>
    <x v="24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8"/>
  </r>
  <r>
    <x v="34"/>
    <s v="S35_2021_7"/>
    <x v="3"/>
    <s v="Maintenance"/>
    <x v="34"/>
    <s v="Patrick"/>
    <x v="17"/>
    <x v="38"/>
    <x v="24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8"/>
  </r>
  <r>
    <x v="0"/>
    <s v="S01_2021_8"/>
    <x v="0"/>
    <s v="Maintenance"/>
    <x v="0"/>
    <s v="Gaetan"/>
    <x v="0"/>
    <x v="39"/>
    <x v="25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8"/>
  </r>
  <r>
    <x v="1"/>
    <s v="S02_2021_8"/>
    <x v="0"/>
    <s v="Maintenance"/>
    <x v="1"/>
    <s v="Luo"/>
    <x v="1"/>
    <x v="39"/>
    <x v="25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8"/>
  </r>
  <r>
    <x v="2"/>
    <s v="S03_2021_8"/>
    <x v="0"/>
    <s v="Maintenance"/>
    <x v="2"/>
    <s v="Tsilavina"/>
    <x v="1"/>
    <x v="39"/>
    <x v="25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8"/>
  </r>
  <r>
    <x v="4"/>
    <s v="S05_2021_8"/>
    <x v="0"/>
    <s v="Transversal"/>
    <x v="4"/>
    <s v="Florentin"/>
    <x v="3"/>
    <x v="39"/>
    <x v="25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8"/>
  </r>
  <r>
    <x v="5"/>
    <s v="S06_2021_8"/>
    <x v="1"/>
    <s v="Transversal"/>
    <x v="5"/>
    <s v="Michel"/>
    <x v="4"/>
    <x v="39"/>
    <x v="25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8"/>
  </r>
  <r>
    <x v="7"/>
    <s v="S08_2021_8"/>
    <x v="0"/>
    <s v="Transversal"/>
    <x v="7"/>
    <s v="Onja"/>
    <x v="6"/>
    <x v="39"/>
    <x v="25"/>
    <d v="2021-07-27T00:00:00"/>
    <n v="804000"/>
    <n v="898359"/>
    <n v="898359"/>
    <n v="0"/>
    <n v="0"/>
    <n v="0"/>
    <n v="0"/>
    <n v="8983.59"/>
    <n v="85375"/>
    <n v="889375"/>
    <n v="0"/>
    <m/>
    <n v="898359"/>
    <n v="134754"/>
    <x v="2"/>
    <x v="0"/>
    <x v="0"/>
    <x v="8"/>
  </r>
  <r>
    <x v="8"/>
    <s v="S09_2021_8"/>
    <x v="2"/>
    <s v="Maintenance"/>
    <x v="8"/>
    <s v="Rinon"/>
    <x v="1"/>
    <x v="39"/>
    <x v="25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8"/>
  </r>
  <r>
    <x v="9"/>
    <s v="S10_2021_8"/>
    <x v="2"/>
    <s v="Maintenance"/>
    <x v="9"/>
    <s v="Alain"/>
    <x v="7"/>
    <x v="39"/>
    <x v="25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8"/>
  </r>
  <r>
    <x v="10"/>
    <s v="S11_2021_8"/>
    <x v="0"/>
    <s v="Transversal"/>
    <x v="10"/>
    <s v="Raoul"/>
    <x v="8"/>
    <x v="39"/>
    <x v="25"/>
    <d v="2021-06-24T00:00:00"/>
    <n v="402400"/>
    <n v="301641"/>
    <n v="408478"/>
    <n v="22592"/>
    <n v="17213"/>
    <n v="1"/>
    <n v="49"/>
    <n v="4084.78"/>
    <n v="2000"/>
    <n v="404393"/>
    <n v="6000"/>
    <m/>
    <n v="408478"/>
    <n v="61272"/>
    <x v="1"/>
    <x v="0"/>
    <x v="4"/>
    <x v="8"/>
  </r>
  <r>
    <x v="11"/>
    <s v="S12_2021_8"/>
    <x v="0"/>
    <s v="Transversal"/>
    <x v="11"/>
    <s v="Benedictine"/>
    <x v="9"/>
    <x v="39"/>
    <x v="25"/>
    <d v="2021-08-27T00:00:00"/>
    <n v="126500"/>
    <n v="129798"/>
    <n v="129798"/>
    <n v="0"/>
    <n v="0"/>
    <n v="0"/>
    <n v="0"/>
    <n v="1297.98"/>
    <n v="2000"/>
    <n v="128500"/>
    <n v="6000"/>
    <m/>
    <n v="129798"/>
    <n v="19470"/>
    <x v="1"/>
    <x v="0"/>
    <x v="5"/>
    <x v="8"/>
  </r>
  <r>
    <x v="12"/>
    <s v="S13_2021_8"/>
    <x v="1"/>
    <s v="Transversal"/>
    <x v="12"/>
    <s v="Herizo"/>
    <x v="10"/>
    <x v="39"/>
    <x v="25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8"/>
  </r>
  <r>
    <x v="13"/>
    <s v="S14_2021_8"/>
    <x v="0"/>
    <s v="Transversal"/>
    <x v="13"/>
    <s v="Rene"/>
    <x v="8"/>
    <x v="39"/>
    <x v="25"/>
    <d v="2021-08-27T00:00:00"/>
    <n v="391332"/>
    <n v="301641"/>
    <n v="397305"/>
    <n v="22592"/>
    <n v="17213"/>
    <n v="0"/>
    <n v="45"/>
    <n v="3973.05"/>
    <n v="2000"/>
    <n v="393332"/>
    <n v="6000"/>
    <m/>
    <n v="397305"/>
    <n v="59596"/>
    <x v="1"/>
    <x v="0"/>
    <x v="4"/>
    <x v="8"/>
  </r>
  <r>
    <x v="14"/>
    <s v="S15_2021_8"/>
    <x v="2"/>
    <s v="Transversal"/>
    <x v="14"/>
    <s v="Chrisos"/>
    <x v="11"/>
    <x v="39"/>
    <x v="25"/>
    <d v="2021-07-27T00:00:00"/>
    <n v="1054000"/>
    <n v="1214015"/>
    <n v="1214015"/>
    <n v="0"/>
    <n v="0"/>
    <n v="0"/>
    <n v="0"/>
    <n v="12140.15"/>
    <n v="147875"/>
    <n v="1201875"/>
    <n v="0"/>
    <m/>
    <n v="1214015"/>
    <n v="182102"/>
    <x v="1"/>
    <x v="5"/>
    <x v="0"/>
    <x v="8"/>
  </r>
  <r>
    <x v="15"/>
    <s v="S16_2021_8"/>
    <x v="0"/>
    <s v="Maintenance"/>
    <x v="15"/>
    <s v="Victorien"/>
    <x v="7"/>
    <x v="39"/>
    <x v="25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8"/>
  </r>
  <r>
    <x v="16"/>
    <s v="S17_2021_8"/>
    <x v="0"/>
    <s v="Transversal"/>
    <x v="16"/>
    <s v="Velonasy"/>
    <x v="8"/>
    <x v="39"/>
    <x v="25"/>
    <d v="2021-04-27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8"/>
  </r>
  <r>
    <x v="18"/>
    <s v="S19_2021_8"/>
    <x v="0"/>
    <s v="Maintenance"/>
    <x v="18"/>
    <s v="Faly"/>
    <x v="7"/>
    <x v="39"/>
    <x v="25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8"/>
  </r>
  <r>
    <x v="19"/>
    <s v="S20_2021_8"/>
    <x v="3"/>
    <s v="Maintenance"/>
    <x v="19"/>
    <s v="Manitrasina"/>
    <x v="1"/>
    <x v="39"/>
    <x v="25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8"/>
  </r>
  <r>
    <x v="23"/>
    <s v="S24_2021_8"/>
    <x v="2"/>
    <s v="Transversal"/>
    <x v="23"/>
    <s v="Christophe"/>
    <x v="14"/>
    <x v="39"/>
    <x v="25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8"/>
  </r>
  <r>
    <x v="24"/>
    <s v="S25_2021_8"/>
    <x v="2"/>
    <s v="Maintenance"/>
    <x v="24"/>
    <s v="Doris"/>
    <x v="1"/>
    <x v="39"/>
    <x v="25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8"/>
  </r>
  <r>
    <x v="25"/>
    <s v="S26_2021_8"/>
    <x v="0"/>
    <s v="Construction"/>
    <x v="25"/>
    <s v="Anicet"/>
    <x v="5"/>
    <x v="39"/>
    <x v="25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8"/>
  </r>
  <r>
    <x v="27"/>
    <s v="S28_2021_8"/>
    <x v="2"/>
    <s v="Construction"/>
    <x v="27"/>
    <s v="Rodin"/>
    <x v="1"/>
    <x v="39"/>
    <x v="25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8"/>
  </r>
  <r>
    <x v="29"/>
    <s v="S30_2021_8"/>
    <x v="2"/>
    <s v="Transversal"/>
    <x v="29"/>
    <s v="Marie Jeanne"/>
    <x v="9"/>
    <x v="39"/>
    <x v="25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8"/>
  </r>
  <r>
    <x v="31"/>
    <s v="S32_2021_8"/>
    <x v="0"/>
    <s v="Maintenance"/>
    <x v="31"/>
    <s v="Francot"/>
    <x v="1"/>
    <x v="39"/>
    <x v="25"/>
    <d v="2021-08-27T00:00:00"/>
    <n v="8783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8"/>
  </r>
  <r>
    <x v="32"/>
    <s v="S33_2021_8"/>
    <x v="0"/>
    <s v="Maintenance"/>
    <x v="32"/>
    <s v="Perolin"/>
    <x v="1"/>
    <x v="39"/>
    <x v="25"/>
    <d v="2021-08-27T00:00:00"/>
    <n v="9880"/>
    <n v="12000"/>
    <n v="12000"/>
    <n v="0"/>
    <n v="0"/>
    <n v="0"/>
    <n v="0"/>
    <n v="120"/>
    <n v="2000"/>
    <n v="11880"/>
    <n v="2000"/>
    <m/>
    <n v="12000"/>
    <n v="1800"/>
    <x v="11"/>
    <x v="0"/>
    <x v="1"/>
    <x v="8"/>
  </r>
  <r>
    <x v="30"/>
    <s v="S31_2021_8"/>
    <x v="2"/>
    <s v="Maintenance"/>
    <x v="30"/>
    <s v="Fabiolain"/>
    <x v="1"/>
    <x v="39"/>
    <x v="25"/>
    <d v="2021-07-27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8"/>
  </r>
  <r>
    <x v="33"/>
    <s v="S34_2021_8"/>
    <x v="1"/>
    <s v="Transversal"/>
    <x v="33"/>
    <s v="Valérie"/>
    <x v="16"/>
    <x v="39"/>
    <x v="25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8"/>
  </r>
  <r>
    <x v="34"/>
    <s v="S35_2021_8"/>
    <x v="3"/>
    <s v="Maintenance"/>
    <x v="34"/>
    <s v="Patrick"/>
    <x v="17"/>
    <x v="39"/>
    <x v="25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8"/>
  </r>
  <r>
    <x v="0"/>
    <s v="S01_2021_9"/>
    <x v="0"/>
    <s v="Maintenance"/>
    <x v="0"/>
    <s v="Gaetan"/>
    <x v="0"/>
    <x v="40"/>
    <x v="26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8"/>
  </r>
  <r>
    <x v="1"/>
    <s v="S02_2021_9"/>
    <x v="0"/>
    <s v="Maintenance"/>
    <x v="1"/>
    <s v="Luo"/>
    <x v="1"/>
    <x v="40"/>
    <x v="26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8"/>
  </r>
  <r>
    <x v="2"/>
    <s v="S03_2021_9"/>
    <x v="0"/>
    <s v="Maintenance"/>
    <x v="2"/>
    <s v="Tsilavina"/>
    <x v="1"/>
    <x v="40"/>
    <x v="26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8"/>
  </r>
  <r>
    <x v="4"/>
    <s v="S05_2021_9"/>
    <x v="0"/>
    <s v="Transversal"/>
    <x v="4"/>
    <s v="Florentin"/>
    <x v="3"/>
    <x v="40"/>
    <x v="26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8"/>
  </r>
  <r>
    <x v="5"/>
    <s v="S06_2021_9"/>
    <x v="1"/>
    <s v="Transversal"/>
    <x v="5"/>
    <s v="Michel"/>
    <x v="4"/>
    <x v="40"/>
    <x v="26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8"/>
  </r>
  <r>
    <x v="7"/>
    <s v="S08_2021_9"/>
    <x v="0"/>
    <s v="Transversal"/>
    <x v="7"/>
    <s v="Onja"/>
    <x v="6"/>
    <x v="40"/>
    <x v="26"/>
    <d v="2021-07-27T00:00:00"/>
    <n v="804000"/>
    <n v="898359"/>
    <n v="898359"/>
    <n v="0"/>
    <n v="0"/>
    <n v="0"/>
    <n v="0"/>
    <n v="8983.59"/>
    <n v="85375"/>
    <n v="889375"/>
    <n v="0"/>
    <m/>
    <n v="898359"/>
    <n v="134754"/>
    <x v="2"/>
    <x v="0"/>
    <x v="0"/>
    <x v="8"/>
  </r>
  <r>
    <x v="8"/>
    <s v="S09_2021_9"/>
    <x v="2"/>
    <s v="Maintenance"/>
    <x v="8"/>
    <s v="Rinon"/>
    <x v="1"/>
    <x v="40"/>
    <x v="26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8"/>
  </r>
  <r>
    <x v="9"/>
    <s v="S10_2021_9"/>
    <x v="2"/>
    <s v="Maintenance"/>
    <x v="9"/>
    <s v="Alain"/>
    <x v="7"/>
    <x v="40"/>
    <x v="26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8"/>
  </r>
  <r>
    <x v="10"/>
    <s v="S11_2021_9"/>
    <x v="0"/>
    <s v="Transversal"/>
    <x v="10"/>
    <s v="Raoul"/>
    <x v="8"/>
    <x v="40"/>
    <x v="26"/>
    <d v="2021-09-28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8"/>
  </r>
  <r>
    <x v="11"/>
    <s v="S12_2021_9"/>
    <x v="0"/>
    <s v="Transversal"/>
    <x v="11"/>
    <s v="Benedictine"/>
    <x v="9"/>
    <x v="40"/>
    <x v="26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8"/>
  </r>
  <r>
    <x v="12"/>
    <s v="S13_2021_9"/>
    <x v="1"/>
    <s v="Transversal"/>
    <x v="12"/>
    <s v="Herizo"/>
    <x v="10"/>
    <x v="40"/>
    <x v="26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8"/>
  </r>
  <r>
    <x v="13"/>
    <s v="S14_2021_9"/>
    <x v="0"/>
    <s v="Transversal"/>
    <x v="13"/>
    <s v="Rene"/>
    <x v="8"/>
    <x v="40"/>
    <x v="26"/>
    <d v="2021-09-28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8"/>
  </r>
  <r>
    <x v="14"/>
    <s v="S15_2021_9"/>
    <x v="2"/>
    <s v="Transversal"/>
    <x v="14"/>
    <s v="Chrisos"/>
    <x v="11"/>
    <x v="40"/>
    <x v="26"/>
    <d v="2021-07-27T00:00:00"/>
    <n v="1054000"/>
    <n v="1214015"/>
    <n v="1214015"/>
    <n v="0"/>
    <n v="0"/>
    <n v="0"/>
    <n v="0"/>
    <n v="12140.15"/>
    <n v="147875"/>
    <n v="1201875"/>
    <n v="0"/>
    <m/>
    <n v="1214015"/>
    <n v="182102"/>
    <x v="1"/>
    <x v="5"/>
    <x v="0"/>
    <x v="8"/>
  </r>
  <r>
    <x v="15"/>
    <s v="S16_2021_9"/>
    <x v="0"/>
    <s v="Maintenance"/>
    <x v="15"/>
    <s v="Victorien"/>
    <x v="7"/>
    <x v="40"/>
    <x v="26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8"/>
  </r>
  <r>
    <x v="16"/>
    <s v="S17_2021_9"/>
    <x v="0"/>
    <s v="Transversal"/>
    <x v="16"/>
    <s v="Velonasy"/>
    <x v="8"/>
    <x v="40"/>
    <x v="26"/>
    <d v="2021-09-28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8"/>
  </r>
  <r>
    <x v="18"/>
    <s v="S19_2021_9"/>
    <x v="0"/>
    <s v="Maintenance"/>
    <x v="18"/>
    <s v="Faly"/>
    <x v="7"/>
    <x v="40"/>
    <x v="26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8"/>
  </r>
  <r>
    <x v="19"/>
    <s v="S20_2021_9"/>
    <x v="3"/>
    <s v="Maintenance"/>
    <x v="19"/>
    <s v="Manitrasina"/>
    <x v="1"/>
    <x v="40"/>
    <x v="26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8"/>
  </r>
  <r>
    <x v="23"/>
    <s v="S24_2021_9"/>
    <x v="2"/>
    <s v="Transversal"/>
    <x v="23"/>
    <s v="Christophe"/>
    <x v="14"/>
    <x v="40"/>
    <x v="26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8"/>
  </r>
  <r>
    <x v="24"/>
    <s v="S25_2021_9"/>
    <x v="2"/>
    <s v="Maintenance"/>
    <x v="24"/>
    <s v="Doris"/>
    <x v="1"/>
    <x v="40"/>
    <x v="26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8"/>
  </r>
  <r>
    <x v="25"/>
    <s v="S26_2021_9"/>
    <x v="0"/>
    <s v="Construction"/>
    <x v="25"/>
    <s v="Anicet"/>
    <x v="5"/>
    <x v="40"/>
    <x v="26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8"/>
  </r>
  <r>
    <x v="27"/>
    <s v="S28_2021_9"/>
    <x v="2"/>
    <s v="Construction"/>
    <x v="27"/>
    <s v="Rodin"/>
    <x v="1"/>
    <x v="40"/>
    <x v="26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8"/>
  </r>
  <r>
    <x v="29"/>
    <s v="S30_2021_9"/>
    <x v="2"/>
    <s v="Transversal"/>
    <x v="29"/>
    <s v="Marie Jeanne"/>
    <x v="9"/>
    <x v="40"/>
    <x v="26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8"/>
  </r>
  <r>
    <x v="31"/>
    <s v="S32_2021_9"/>
    <x v="0"/>
    <s v="Maintenance"/>
    <x v="31"/>
    <s v="Francot"/>
    <x v="1"/>
    <x v="40"/>
    <x v="26"/>
    <d v="2021-09-28T00:00:00"/>
    <n v="8800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8"/>
  </r>
  <r>
    <x v="32"/>
    <s v="S33_2021_9"/>
    <x v="0"/>
    <s v="Maintenance"/>
    <x v="32"/>
    <s v="Perolin"/>
    <x v="1"/>
    <x v="40"/>
    <x v="26"/>
    <d v="2021-09-28T00:00:00"/>
    <n v="9900"/>
    <n v="12000"/>
    <n v="12000"/>
    <n v="0"/>
    <n v="0"/>
    <n v="0"/>
    <n v="0"/>
    <n v="120"/>
    <n v="2000"/>
    <n v="11880"/>
    <n v="2000"/>
    <m/>
    <n v="12000"/>
    <n v="1800"/>
    <x v="11"/>
    <x v="0"/>
    <x v="1"/>
    <x v="8"/>
  </r>
  <r>
    <x v="30"/>
    <s v="S31_2021_9"/>
    <x v="2"/>
    <s v="Maintenance"/>
    <x v="30"/>
    <s v="Fabiolain"/>
    <x v="1"/>
    <x v="40"/>
    <x v="26"/>
    <d v="2021-09-28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8"/>
  </r>
  <r>
    <x v="33"/>
    <s v="S34_2021_9"/>
    <x v="1"/>
    <s v="Transversal"/>
    <x v="33"/>
    <s v="Valérie"/>
    <x v="16"/>
    <x v="40"/>
    <x v="26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8"/>
  </r>
  <r>
    <x v="34"/>
    <s v="S35_2021_9"/>
    <x v="3"/>
    <s v="Maintenance"/>
    <x v="34"/>
    <s v="Patrick"/>
    <x v="17"/>
    <x v="40"/>
    <x v="26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8"/>
  </r>
  <r>
    <x v="0"/>
    <s v="S01_2021_10"/>
    <x v="0"/>
    <s v="Maintenance"/>
    <x v="0"/>
    <s v="Gaetan"/>
    <x v="0"/>
    <x v="41"/>
    <x v="27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9"/>
  </r>
  <r>
    <x v="1"/>
    <s v="S02_2021_10"/>
    <x v="0"/>
    <s v="Maintenance"/>
    <x v="1"/>
    <s v="Luo"/>
    <x v="1"/>
    <x v="41"/>
    <x v="27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9"/>
  </r>
  <r>
    <x v="2"/>
    <s v="S03_2021_10"/>
    <x v="0"/>
    <s v="Maintenance"/>
    <x v="2"/>
    <s v="Tsilavina"/>
    <x v="1"/>
    <x v="41"/>
    <x v="27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9"/>
  </r>
  <r>
    <x v="4"/>
    <s v="S05_2021_10"/>
    <x v="0"/>
    <s v="Transversal"/>
    <x v="4"/>
    <s v="Florentin"/>
    <x v="3"/>
    <x v="41"/>
    <x v="27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9"/>
  </r>
  <r>
    <x v="5"/>
    <s v="S06_2021_10"/>
    <x v="1"/>
    <s v="Transversal"/>
    <x v="5"/>
    <s v="Michel"/>
    <x v="4"/>
    <x v="41"/>
    <x v="27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9"/>
  </r>
  <r>
    <x v="7"/>
    <s v="S08_2021_10"/>
    <x v="0"/>
    <s v="Transversal"/>
    <x v="7"/>
    <s v="Onja"/>
    <x v="6"/>
    <x v="41"/>
    <x v="27"/>
    <d v="2021-07-27T00:00:00"/>
    <n v="804000"/>
    <n v="898359"/>
    <n v="898359"/>
    <n v="0"/>
    <n v="0"/>
    <n v="0"/>
    <n v="0"/>
    <n v="8983.59"/>
    <n v="85375"/>
    <n v="889375"/>
    <n v="0"/>
    <m/>
    <n v="898359"/>
    <n v="134754"/>
    <x v="2"/>
    <x v="0"/>
    <x v="0"/>
    <x v="9"/>
  </r>
  <r>
    <x v="8"/>
    <s v="S09_2021_10"/>
    <x v="2"/>
    <s v="Maintenance"/>
    <x v="8"/>
    <s v="Rinon"/>
    <x v="1"/>
    <x v="41"/>
    <x v="27"/>
    <d v="2021-03-26T00:00:00"/>
    <n v="430000"/>
    <n v="436364"/>
    <n v="436364"/>
    <n v="0"/>
    <n v="0"/>
    <n v="0"/>
    <n v="0"/>
    <n v="4363.6400000000003"/>
    <n v="2000"/>
    <n v="432000"/>
    <n v="4000"/>
    <m/>
    <n v="436364"/>
    <n v="65455"/>
    <x v="1"/>
    <x v="1"/>
    <x v="1"/>
    <x v="9"/>
  </r>
  <r>
    <x v="9"/>
    <s v="S10_2021_10"/>
    <x v="2"/>
    <s v="Maintenance"/>
    <x v="9"/>
    <s v="Alain"/>
    <x v="7"/>
    <x v="41"/>
    <x v="27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9"/>
  </r>
  <r>
    <x v="10"/>
    <s v="S11_2021_10"/>
    <x v="0"/>
    <s v="Transversal"/>
    <x v="10"/>
    <s v="Raoul"/>
    <x v="8"/>
    <x v="41"/>
    <x v="27"/>
    <d v="2021-09-28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9"/>
  </r>
  <r>
    <x v="11"/>
    <s v="S12_2021_10"/>
    <x v="0"/>
    <s v="Transversal"/>
    <x v="11"/>
    <s v="Benedictine"/>
    <x v="9"/>
    <x v="41"/>
    <x v="27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9"/>
  </r>
  <r>
    <x v="12"/>
    <s v="S13_2021_10"/>
    <x v="1"/>
    <s v="Transversal"/>
    <x v="12"/>
    <s v="Herizo"/>
    <x v="10"/>
    <x v="41"/>
    <x v="27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9"/>
  </r>
  <r>
    <x v="13"/>
    <s v="S14_2021_10"/>
    <x v="0"/>
    <s v="Transversal"/>
    <x v="13"/>
    <s v="Rene"/>
    <x v="8"/>
    <x v="41"/>
    <x v="27"/>
    <d v="2021-09-28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9"/>
  </r>
  <r>
    <x v="14"/>
    <s v="S15_2021_10"/>
    <x v="2"/>
    <s v="Transversal"/>
    <x v="14"/>
    <s v="Chrisos"/>
    <x v="11"/>
    <x v="41"/>
    <x v="27"/>
    <d v="2021-07-27T00:00:00"/>
    <n v="1054000"/>
    <n v="1214015"/>
    <n v="1214015"/>
    <n v="0"/>
    <n v="0"/>
    <n v="0"/>
    <n v="0"/>
    <n v="12140.15"/>
    <n v="147875"/>
    <n v="1201875"/>
    <n v="0"/>
    <m/>
    <n v="1214015"/>
    <n v="182102"/>
    <x v="1"/>
    <x v="5"/>
    <x v="0"/>
    <x v="9"/>
  </r>
  <r>
    <x v="15"/>
    <s v="S16_2021_10"/>
    <x v="0"/>
    <s v="Maintenance"/>
    <x v="15"/>
    <s v="Victorien"/>
    <x v="7"/>
    <x v="41"/>
    <x v="27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9"/>
  </r>
  <r>
    <x v="16"/>
    <s v="S17_2021_10"/>
    <x v="0"/>
    <s v="Transversal"/>
    <x v="16"/>
    <s v="Velonasy"/>
    <x v="8"/>
    <x v="41"/>
    <x v="27"/>
    <d v="2021-09-28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9"/>
  </r>
  <r>
    <x v="18"/>
    <s v="S19_2021_10"/>
    <x v="0"/>
    <s v="Maintenance"/>
    <x v="18"/>
    <s v="Faly"/>
    <x v="7"/>
    <x v="41"/>
    <x v="27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9"/>
  </r>
  <r>
    <x v="19"/>
    <s v="S20_2021_10"/>
    <x v="3"/>
    <s v="Maintenance"/>
    <x v="19"/>
    <s v="Manitrasina"/>
    <x v="1"/>
    <x v="41"/>
    <x v="27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9"/>
  </r>
  <r>
    <x v="23"/>
    <s v="S24_2021_10"/>
    <x v="2"/>
    <s v="Transversal"/>
    <x v="23"/>
    <s v="Christophe"/>
    <x v="14"/>
    <x v="41"/>
    <x v="27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9"/>
  </r>
  <r>
    <x v="24"/>
    <s v="S25_2021_10"/>
    <x v="2"/>
    <s v="Maintenance"/>
    <x v="24"/>
    <s v="Doris"/>
    <x v="1"/>
    <x v="41"/>
    <x v="27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9"/>
  </r>
  <r>
    <x v="25"/>
    <s v="S26_2021_10"/>
    <x v="0"/>
    <s v="Construction"/>
    <x v="25"/>
    <s v="Anicet"/>
    <x v="5"/>
    <x v="41"/>
    <x v="27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9"/>
  </r>
  <r>
    <x v="27"/>
    <s v="S28_2021_10"/>
    <x v="2"/>
    <s v="Construction"/>
    <x v="27"/>
    <s v="Rodin"/>
    <x v="1"/>
    <x v="41"/>
    <x v="27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9"/>
  </r>
  <r>
    <x v="29"/>
    <s v="S30_2021_10"/>
    <x v="2"/>
    <s v="Transversal"/>
    <x v="29"/>
    <s v="Marie Jeanne"/>
    <x v="9"/>
    <x v="41"/>
    <x v="27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9"/>
  </r>
  <r>
    <x v="31"/>
    <s v="S32_2021_10"/>
    <x v="0"/>
    <s v="Maintenance"/>
    <x v="31"/>
    <s v="Francot"/>
    <x v="1"/>
    <x v="41"/>
    <x v="27"/>
    <d v="2021-09-28T00:00:00"/>
    <n v="8800"/>
    <n v="10892"/>
    <n v="10892"/>
    <n v="0"/>
    <n v="0"/>
    <n v="0"/>
    <n v="0"/>
    <n v="108.92"/>
    <n v="2000"/>
    <n v="10783"/>
    <n v="2000"/>
    <m/>
    <n v="10892"/>
    <n v="1634"/>
    <x v="10"/>
    <x v="12"/>
    <x v="1"/>
    <x v="9"/>
  </r>
  <r>
    <x v="32"/>
    <s v="S33_2021_10"/>
    <x v="0"/>
    <s v="Maintenance"/>
    <x v="32"/>
    <s v="Perolin"/>
    <x v="1"/>
    <x v="41"/>
    <x v="27"/>
    <d v="2021-09-28T00:00:00"/>
    <n v="9900"/>
    <n v="12000"/>
    <n v="12000"/>
    <n v="0"/>
    <n v="0"/>
    <n v="0"/>
    <n v="0"/>
    <n v="120"/>
    <n v="2000"/>
    <n v="11880"/>
    <n v="2000"/>
    <m/>
    <n v="12000"/>
    <n v="1800"/>
    <x v="11"/>
    <x v="0"/>
    <x v="1"/>
    <x v="9"/>
  </r>
  <r>
    <x v="30"/>
    <s v="S31_2021_10"/>
    <x v="2"/>
    <s v="Maintenance"/>
    <x v="30"/>
    <s v="Fabiolain"/>
    <x v="1"/>
    <x v="41"/>
    <x v="27"/>
    <d v="2021-09-28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9"/>
  </r>
  <r>
    <x v="33"/>
    <s v="S34_2021_10"/>
    <x v="1"/>
    <s v="Transversal"/>
    <x v="33"/>
    <s v="Valérie"/>
    <x v="16"/>
    <x v="41"/>
    <x v="27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9"/>
  </r>
  <r>
    <x v="34"/>
    <s v="S35_2021_10"/>
    <x v="3"/>
    <s v="Maintenance"/>
    <x v="34"/>
    <s v="Patrick"/>
    <x v="17"/>
    <x v="41"/>
    <x v="27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9"/>
  </r>
  <r>
    <x v="35"/>
    <s v="S36_2021_10"/>
    <x v="2"/>
    <s v="Transversal"/>
    <x v="35"/>
    <s v="Judicaël"/>
    <x v="3"/>
    <x v="41"/>
    <x v="27"/>
    <d v="2021-10-28T00:00:00"/>
    <n v="14100"/>
    <n v="16250"/>
    <n v="16250"/>
    <n v="0"/>
    <n v="0"/>
    <n v="0"/>
    <n v="0"/>
    <n v="162.5"/>
    <n v="2000"/>
    <n v="16088"/>
    <n v="6000"/>
    <m/>
    <n v="16250"/>
    <n v="2438"/>
    <x v="14"/>
    <x v="14"/>
    <x v="1"/>
    <x v="9"/>
  </r>
  <r>
    <x v="36"/>
    <s v="S37_2021_10"/>
    <x v="2"/>
    <s v="Transversal"/>
    <x v="36"/>
    <s v="Caroline"/>
    <x v="18"/>
    <x v="41"/>
    <x v="27"/>
    <d v="2021-10-28T00:00:00"/>
    <n v="1222500"/>
    <n v="1419192"/>
    <n v="1419192"/>
    <n v="0"/>
    <n v="0"/>
    <n v="0"/>
    <n v="0"/>
    <n v="14191.92"/>
    <n v="182500"/>
    <n v="1405000"/>
    <n v="6000"/>
    <m/>
    <n v="1419192"/>
    <n v="212879"/>
    <x v="15"/>
    <x v="15"/>
    <x v="0"/>
    <x v="9"/>
  </r>
  <r>
    <x v="0"/>
    <s v="S01_2021_11"/>
    <x v="0"/>
    <s v="Maintenance"/>
    <x v="0"/>
    <s v="Gaetan"/>
    <x v="0"/>
    <x v="42"/>
    <x v="28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9"/>
  </r>
  <r>
    <x v="1"/>
    <s v="S02_2021_11"/>
    <x v="0"/>
    <s v="Maintenance"/>
    <x v="1"/>
    <s v="Luo"/>
    <x v="1"/>
    <x v="42"/>
    <x v="28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9"/>
  </r>
  <r>
    <x v="2"/>
    <s v="S03_2021_11"/>
    <x v="0"/>
    <s v="Maintenance"/>
    <x v="2"/>
    <s v="Tsilavina"/>
    <x v="1"/>
    <x v="42"/>
    <x v="28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9"/>
  </r>
  <r>
    <x v="4"/>
    <s v="S05_2021_11"/>
    <x v="0"/>
    <s v="Transversal"/>
    <x v="4"/>
    <s v="Florentin"/>
    <x v="3"/>
    <x v="42"/>
    <x v="28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9"/>
  </r>
  <r>
    <x v="5"/>
    <s v="S06_2021_11"/>
    <x v="1"/>
    <s v="Transversal"/>
    <x v="5"/>
    <s v="Michel"/>
    <x v="4"/>
    <x v="42"/>
    <x v="28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9"/>
  </r>
  <r>
    <x v="7"/>
    <s v="S08_2021_11"/>
    <x v="0"/>
    <s v="Transversal"/>
    <x v="7"/>
    <s v="Onja"/>
    <x v="6"/>
    <x v="42"/>
    <x v="28"/>
    <d v="2021-07-27T00:00:00"/>
    <n v="804000"/>
    <n v="898359"/>
    <n v="898359"/>
    <n v="0"/>
    <n v="0"/>
    <n v="0"/>
    <n v="0"/>
    <n v="8983.59"/>
    <n v="85375"/>
    <n v="889375"/>
    <n v="0"/>
    <m/>
    <n v="898359"/>
    <n v="134754"/>
    <x v="2"/>
    <x v="0"/>
    <x v="0"/>
    <x v="9"/>
  </r>
  <r>
    <x v="8"/>
    <s v="S09_2021_11"/>
    <x v="2"/>
    <s v="Maintenance"/>
    <x v="8"/>
    <s v="Rinon"/>
    <x v="1"/>
    <x v="42"/>
    <x v="28"/>
    <d v="2021-11-26T00:00:00"/>
    <n v="358400"/>
    <n v="364015"/>
    <n v="364015"/>
    <n v="0"/>
    <n v="0"/>
    <n v="0"/>
    <n v="0"/>
    <n v="3640.15"/>
    <n v="2000"/>
    <n v="360375"/>
    <n v="4000"/>
    <m/>
    <n v="364015"/>
    <n v="54602"/>
    <x v="1"/>
    <x v="1"/>
    <x v="1"/>
    <x v="9"/>
  </r>
  <r>
    <x v="9"/>
    <s v="S10_2021_11"/>
    <x v="2"/>
    <s v="Maintenance"/>
    <x v="9"/>
    <s v="Alain"/>
    <x v="7"/>
    <x v="42"/>
    <x v="28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9"/>
  </r>
  <r>
    <x v="10"/>
    <s v="S11_2021_11"/>
    <x v="0"/>
    <s v="Transversal"/>
    <x v="10"/>
    <s v="Raoul"/>
    <x v="8"/>
    <x v="42"/>
    <x v="28"/>
    <d v="2021-11-26T00:00:00"/>
    <n v="408500"/>
    <n v="301641"/>
    <n v="414684"/>
    <n v="22592"/>
    <n v="17213"/>
    <n v="0"/>
    <n v="59"/>
    <n v="4146.84"/>
    <n v="2000"/>
    <n v="410537"/>
    <n v="6000"/>
    <m/>
    <n v="414684"/>
    <n v="62203"/>
    <x v="1"/>
    <x v="0"/>
    <x v="4"/>
    <x v="9"/>
  </r>
  <r>
    <x v="11"/>
    <s v="S12_2021_11"/>
    <x v="0"/>
    <s v="Transversal"/>
    <x v="11"/>
    <s v="Benedictine"/>
    <x v="9"/>
    <x v="42"/>
    <x v="28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9"/>
  </r>
  <r>
    <x v="12"/>
    <s v="S13_2021_11"/>
    <x v="1"/>
    <s v="Transversal"/>
    <x v="12"/>
    <s v="Herizo"/>
    <x v="10"/>
    <x v="42"/>
    <x v="28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9"/>
  </r>
  <r>
    <x v="13"/>
    <s v="S14_2021_11"/>
    <x v="0"/>
    <s v="Transversal"/>
    <x v="13"/>
    <s v="Rene"/>
    <x v="8"/>
    <x v="42"/>
    <x v="28"/>
    <d v="2021-11-26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9"/>
  </r>
  <r>
    <x v="14"/>
    <s v="S15_2021_11"/>
    <x v="2"/>
    <s v="Transversal"/>
    <x v="14"/>
    <s v="Chrisos"/>
    <x v="11"/>
    <x v="42"/>
    <x v="28"/>
    <d v="2021-07-27T00:00:00"/>
    <n v="1054000"/>
    <n v="1214015"/>
    <n v="1214015"/>
    <n v="0"/>
    <n v="0"/>
    <n v="0"/>
    <n v="0"/>
    <n v="12140.15"/>
    <n v="147875"/>
    <n v="1201875"/>
    <n v="0"/>
    <m/>
    <n v="1214015"/>
    <n v="182102"/>
    <x v="1"/>
    <x v="5"/>
    <x v="0"/>
    <x v="9"/>
  </r>
  <r>
    <x v="15"/>
    <s v="S16_2021_11"/>
    <x v="0"/>
    <s v="Maintenance"/>
    <x v="15"/>
    <s v="Victorien"/>
    <x v="7"/>
    <x v="42"/>
    <x v="28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9"/>
  </r>
  <r>
    <x v="16"/>
    <s v="S17_2021_11"/>
    <x v="0"/>
    <s v="Transversal"/>
    <x v="16"/>
    <s v="Velonasy"/>
    <x v="8"/>
    <x v="42"/>
    <x v="28"/>
    <d v="2021-11-26T00:00:00"/>
    <n v="397500"/>
    <n v="301641"/>
    <n v="403512"/>
    <n v="22592"/>
    <n v="17213"/>
    <n v="1"/>
    <n v="45"/>
    <n v="4035.12"/>
    <n v="2000"/>
    <n v="399477"/>
    <n v="6000"/>
    <m/>
    <n v="403512"/>
    <n v="60527"/>
    <x v="1"/>
    <x v="0"/>
    <x v="4"/>
    <x v="9"/>
  </r>
  <r>
    <x v="18"/>
    <s v="S19_2021_11"/>
    <x v="0"/>
    <s v="Maintenance"/>
    <x v="18"/>
    <s v="Faly"/>
    <x v="7"/>
    <x v="42"/>
    <x v="28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9"/>
  </r>
  <r>
    <x v="19"/>
    <s v="S20_2021_11"/>
    <x v="3"/>
    <s v="Maintenance"/>
    <x v="19"/>
    <s v="Manitrasina"/>
    <x v="1"/>
    <x v="42"/>
    <x v="28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9"/>
  </r>
  <r>
    <x v="23"/>
    <s v="S24_2021_11"/>
    <x v="2"/>
    <s v="Transversal"/>
    <x v="23"/>
    <s v="Christophe"/>
    <x v="14"/>
    <x v="42"/>
    <x v="28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9"/>
  </r>
  <r>
    <x v="24"/>
    <s v="S25_2021_11"/>
    <x v="2"/>
    <s v="Maintenance"/>
    <x v="24"/>
    <s v="Doris"/>
    <x v="1"/>
    <x v="42"/>
    <x v="28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9"/>
  </r>
  <r>
    <x v="25"/>
    <s v="S26_2021_11"/>
    <x v="0"/>
    <s v="Construction"/>
    <x v="25"/>
    <s v="Anicet"/>
    <x v="5"/>
    <x v="42"/>
    <x v="28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9"/>
  </r>
  <r>
    <x v="27"/>
    <s v="S28_2021_11"/>
    <x v="2"/>
    <s v="Construction"/>
    <x v="27"/>
    <s v="Rodin"/>
    <x v="1"/>
    <x v="42"/>
    <x v="28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9"/>
  </r>
  <r>
    <x v="29"/>
    <s v="S30_2021_11"/>
    <x v="2"/>
    <s v="Transversal"/>
    <x v="29"/>
    <s v="Marie Jeanne"/>
    <x v="9"/>
    <x v="42"/>
    <x v="28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9"/>
  </r>
  <r>
    <x v="31"/>
    <s v="S32_2021_11"/>
    <x v="0"/>
    <s v="Maintenance"/>
    <x v="31"/>
    <s v="Francot"/>
    <x v="1"/>
    <x v="42"/>
    <x v="28"/>
    <d v="2021-11-26T00:00:00"/>
    <n v="320000"/>
    <n v="325253"/>
    <n v="325253"/>
    <n v="0"/>
    <n v="0"/>
    <n v="0"/>
    <n v="0"/>
    <n v="3252.53"/>
    <n v="2000"/>
    <n v="322000"/>
    <n v="2000"/>
    <m/>
    <n v="325253"/>
    <n v="48788"/>
    <x v="10"/>
    <x v="12"/>
    <x v="1"/>
    <x v="9"/>
  </r>
  <r>
    <x v="32"/>
    <s v="S33_2021_11"/>
    <x v="0"/>
    <s v="Maintenance"/>
    <x v="32"/>
    <s v="Perolin"/>
    <x v="1"/>
    <x v="42"/>
    <x v="28"/>
    <d v="2021-11-26T00:00:00"/>
    <n v="320000"/>
    <n v="325253"/>
    <n v="325253"/>
    <n v="0"/>
    <n v="0"/>
    <n v="0"/>
    <n v="0"/>
    <n v="3252.53"/>
    <n v="2000"/>
    <n v="322000"/>
    <n v="2000"/>
    <m/>
    <n v="325253"/>
    <n v="48788"/>
    <x v="11"/>
    <x v="0"/>
    <x v="1"/>
    <x v="9"/>
  </r>
  <r>
    <x v="30"/>
    <s v="S31_2021_11"/>
    <x v="2"/>
    <s v="Maintenance"/>
    <x v="30"/>
    <s v="Fabiolain"/>
    <x v="1"/>
    <x v="42"/>
    <x v="28"/>
    <d v="2021-11-26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9"/>
  </r>
  <r>
    <x v="33"/>
    <s v="S34_2021_11"/>
    <x v="1"/>
    <s v="Transversal"/>
    <x v="33"/>
    <s v="Valérie"/>
    <x v="16"/>
    <x v="42"/>
    <x v="28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9"/>
  </r>
  <r>
    <x v="34"/>
    <s v="S35_2021_11"/>
    <x v="3"/>
    <s v="Maintenance"/>
    <x v="34"/>
    <s v="Patrick"/>
    <x v="17"/>
    <x v="42"/>
    <x v="28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9"/>
  </r>
  <r>
    <x v="35"/>
    <s v="S36_2021_11"/>
    <x v="2"/>
    <s v="Transversal"/>
    <x v="35"/>
    <s v="Judicaël"/>
    <x v="3"/>
    <x v="42"/>
    <x v="28"/>
    <d v="2021-11-26T00:00:00"/>
    <n v="14088"/>
    <n v="16250"/>
    <n v="16250"/>
    <n v="0"/>
    <n v="0"/>
    <n v="0"/>
    <n v="0"/>
    <n v="162.5"/>
    <n v="2000"/>
    <n v="16088"/>
    <n v="6000"/>
    <m/>
    <n v="16250"/>
    <n v="2438"/>
    <x v="14"/>
    <x v="14"/>
    <x v="1"/>
    <x v="9"/>
  </r>
  <r>
    <x v="36"/>
    <s v="S37_2021_11"/>
    <x v="2"/>
    <s v="Transversal"/>
    <x v="36"/>
    <s v="Caroline"/>
    <x v="18"/>
    <x v="42"/>
    <x v="28"/>
    <d v="2021-10-28T00:00:00"/>
    <n v="1222500"/>
    <n v="1419192"/>
    <n v="1419192"/>
    <n v="0"/>
    <n v="0"/>
    <n v="0"/>
    <n v="0"/>
    <n v="14191.92"/>
    <n v="182500"/>
    <n v="1405000"/>
    <n v="6000"/>
    <m/>
    <n v="1419192"/>
    <n v="212879"/>
    <x v="15"/>
    <x v="15"/>
    <x v="0"/>
    <x v="9"/>
  </r>
  <r>
    <x v="0"/>
    <s v="S01_2021_12"/>
    <x v="0"/>
    <s v="Maintenance"/>
    <x v="0"/>
    <s v="Gaetan"/>
    <x v="0"/>
    <x v="43"/>
    <x v="29"/>
    <d v="2021-03-26T00:00:00"/>
    <n v="1046000"/>
    <n v="1196338"/>
    <n v="1196338"/>
    <n v="0"/>
    <n v="0"/>
    <n v="0"/>
    <n v="0"/>
    <n v="11963.38"/>
    <n v="138375"/>
    <n v="1184375"/>
    <n v="6000"/>
    <m/>
    <n v="1196338"/>
    <n v="179451"/>
    <x v="0"/>
    <x v="0"/>
    <x v="0"/>
    <x v="9"/>
  </r>
  <r>
    <x v="1"/>
    <s v="S02_2021_12"/>
    <x v="0"/>
    <s v="Maintenance"/>
    <x v="1"/>
    <s v="Luo"/>
    <x v="1"/>
    <x v="43"/>
    <x v="29"/>
    <d v="2021-03-26T00:00:00"/>
    <n v="425900"/>
    <n v="435859"/>
    <n v="435859"/>
    <n v="0"/>
    <n v="0"/>
    <n v="0"/>
    <n v="0"/>
    <n v="4358.59"/>
    <n v="5650"/>
    <n v="431500"/>
    <n v="0"/>
    <m/>
    <n v="435859"/>
    <n v="65379"/>
    <x v="0"/>
    <x v="1"/>
    <x v="1"/>
    <x v="9"/>
  </r>
  <r>
    <x v="2"/>
    <s v="S03_2021_12"/>
    <x v="0"/>
    <s v="Maintenance"/>
    <x v="2"/>
    <s v="Tsilavina"/>
    <x v="1"/>
    <x v="43"/>
    <x v="29"/>
    <d v="2021-03-26T00:00:00"/>
    <n v="398850"/>
    <n v="405556"/>
    <n v="405556"/>
    <n v="0"/>
    <n v="0"/>
    <n v="0"/>
    <n v="0"/>
    <n v="4055.56"/>
    <n v="2650"/>
    <n v="401500"/>
    <n v="0"/>
    <m/>
    <n v="405556"/>
    <n v="60833"/>
    <x v="0"/>
    <x v="2"/>
    <x v="1"/>
    <x v="9"/>
  </r>
  <r>
    <x v="4"/>
    <s v="S05_2021_12"/>
    <x v="0"/>
    <s v="Transversal"/>
    <x v="4"/>
    <s v="Florentin"/>
    <x v="3"/>
    <x v="43"/>
    <x v="29"/>
    <d v="2021-03-26T00:00:00"/>
    <n v="531660"/>
    <n v="555152"/>
    <n v="555152"/>
    <n v="0"/>
    <n v="0"/>
    <n v="0"/>
    <n v="0"/>
    <n v="5551.52"/>
    <n v="17940"/>
    <n v="549600"/>
    <n v="2000"/>
    <m/>
    <n v="555152"/>
    <n v="83273"/>
    <x v="1"/>
    <x v="0"/>
    <x v="1"/>
    <x v="9"/>
  </r>
  <r>
    <x v="5"/>
    <s v="S06_2021_12"/>
    <x v="1"/>
    <s v="Transversal"/>
    <x v="5"/>
    <s v="Michel"/>
    <x v="4"/>
    <x v="43"/>
    <x v="29"/>
    <d v="2021-03-26T00:00:00"/>
    <n v="563285"/>
    <n v="587980"/>
    <n v="587980"/>
    <n v="0"/>
    <n v="0"/>
    <n v="0"/>
    <n v="0"/>
    <n v="5879.8"/>
    <n v="18815"/>
    <n v="582100"/>
    <n v="6000"/>
    <m/>
    <n v="587980"/>
    <n v="88197"/>
    <x v="1"/>
    <x v="1"/>
    <x v="2"/>
    <x v="9"/>
  </r>
  <r>
    <x v="7"/>
    <s v="S08_2021_12"/>
    <x v="0"/>
    <s v="Transversal"/>
    <x v="7"/>
    <s v="Onja"/>
    <x v="6"/>
    <x v="43"/>
    <x v="29"/>
    <d v="2021-07-27T00:00:00"/>
    <n v="804000"/>
    <n v="898359"/>
    <n v="898359"/>
    <n v="0"/>
    <n v="0"/>
    <n v="0"/>
    <n v="0"/>
    <n v="8983.59"/>
    <n v="85375"/>
    <n v="889375"/>
    <n v="0"/>
    <m/>
    <n v="898359"/>
    <n v="134754"/>
    <x v="2"/>
    <x v="0"/>
    <x v="0"/>
    <x v="9"/>
  </r>
  <r>
    <x v="8"/>
    <s v="S09_2021_12"/>
    <x v="2"/>
    <s v="Maintenance"/>
    <x v="8"/>
    <s v="Rinon"/>
    <x v="1"/>
    <x v="43"/>
    <x v="29"/>
    <d v="2021-12-17T00:00:00"/>
    <n v="398125"/>
    <n v="404167"/>
    <n v="404167"/>
    <n v="0"/>
    <n v="0"/>
    <n v="0"/>
    <n v="0"/>
    <n v="4041.67"/>
    <n v="2000"/>
    <n v="400125"/>
    <n v="4000"/>
    <m/>
    <n v="404167"/>
    <n v="60625"/>
    <x v="1"/>
    <x v="1"/>
    <x v="1"/>
    <x v="9"/>
  </r>
  <r>
    <x v="9"/>
    <s v="S10_2021_12"/>
    <x v="2"/>
    <s v="Maintenance"/>
    <x v="9"/>
    <s v="Alain"/>
    <x v="7"/>
    <x v="43"/>
    <x v="29"/>
    <d v="2021-03-26T00:00:00"/>
    <n v="404500"/>
    <n v="410606"/>
    <n v="410606"/>
    <n v="0"/>
    <n v="0"/>
    <n v="0"/>
    <n v="0"/>
    <n v="4106.0600000000004"/>
    <n v="2000"/>
    <n v="406500"/>
    <n v="2000"/>
    <m/>
    <n v="410606"/>
    <n v="61591"/>
    <x v="1"/>
    <x v="0"/>
    <x v="3"/>
    <x v="9"/>
  </r>
  <r>
    <x v="10"/>
    <s v="S11_2021_12"/>
    <x v="0"/>
    <s v="Transversal"/>
    <x v="10"/>
    <s v="Raoul"/>
    <x v="8"/>
    <x v="43"/>
    <x v="29"/>
    <d v="2021-12-17T00:00:00"/>
    <n v="397500"/>
    <n v="301641"/>
    <n v="403512"/>
    <n v="22592"/>
    <n v="17213"/>
    <n v="1"/>
    <n v="45"/>
    <n v="4035.12"/>
    <n v="2000"/>
    <n v="399477"/>
    <n v="6000"/>
    <m/>
    <n v="403512"/>
    <n v="60527"/>
    <x v="1"/>
    <x v="0"/>
    <x v="4"/>
    <x v="9"/>
  </r>
  <r>
    <x v="11"/>
    <s v="S12_2021_12"/>
    <x v="0"/>
    <s v="Transversal"/>
    <x v="11"/>
    <s v="Benedictine"/>
    <x v="9"/>
    <x v="43"/>
    <x v="29"/>
    <d v="2021-03-26T00:00:00"/>
    <n v="87500"/>
    <n v="90404"/>
    <n v="90404"/>
    <n v="0"/>
    <n v="0"/>
    <n v="0"/>
    <n v="0"/>
    <n v="904.04"/>
    <n v="2000"/>
    <n v="89500"/>
    <n v="6000"/>
    <m/>
    <n v="90404"/>
    <n v="13561"/>
    <x v="1"/>
    <x v="0"/>
    <x v="5"/>
    <x v="9"/>
  </r>
  <r>
    <x v="12"/>
    <s v="S13_2021_12"/>
    <x v="1"/>
    <s v="Transversal"/>
    <x v="12"/>
    <s v="Herizo"/>
    <x v="10"/>
    <x v="43"/>
    <x v="29"/>
    <d v="2021-03-26T00:00:00"/>
    <n v="2146500"/>
    <n v="2578500"/>
    <n v="2578500"/>
    <n v="0"/>
    <n v="0"/>
    <n v="0"/>
    <n v="0"/>
    <n v="16000"/>
    <n v="416000"/>
    <n v="2562500"/>
    <n v="4000"/>
    <m/>
    <n v="1904000"/>
    <n v="240000"/>
    <x v="1"/>
    <x v="0"/>
    <x v="0"/>
    <x v="9"/>
  </r>
  <r>
    <x v="13"/>
    <s v="S14_2021_12"/>
    <x v="0"/>
    <s v="Transversal"/>
    <x v="13"/>
    <s v="Rene"/>
    <x v="8"/>
    <x v="43"/>
    <x v="29"/>
    <d v="2021-12-17T00:00:00"/>
    <n v="420800"/>
    <n v="301641"/>
    <n v="427097"/>
    <n v="22592"/>
    <n v="17213"/>
    <n v="0"/>
    <n v="69"/>
    <n v="4270.97"/>
    <n v="2000"/>
    <n v="422826"/>
    <n v="6000"/>
    <m/>
    <n v="427097"/>
    <n v="64065"/>
    <x v="1"/>
    <x v="0"/>
    <x v="4"/>
    <x v="9"/>
  </r>
  <r>
    <x v="14"/>
    <s v="S15_2021_12"/>
    <x v="2"/>
    <s v="Transversal"/>
    <x v="14"/>
    <s v="Chrisos"/>
    <x v="11"/>
    <x v="43"/>
    <x v="29"/>
    <d v="2021-07-27T00:00:00"/>
    <n v="1054000"/>
    <n v="1214015"/>
    <n v="1214015"/>
    <n v="0"/>
    <n v="0"/>
    <n v="0"/>
    <n v="0"/>
    <n v="12140.15"/>
    <n v="147875"/>
    <n v="1201875"/>
    <n v="0"/>
    <m/>
    <n v="1214015"/>
    <n v="182102"/>
    <x v="1"/>
    <x v="5"/>
    <x v="0"/>
    <x v="9"/>
  </r>
  <r>
    <x v="15"/>
    <s v="S16_2021_12"/>
    <x v="0"/>
    <s v="Maintenance"/>
    <x v="15"/>
    <s v="Victorien"/>
    <x v="7"/>
    <x v="43"/>
    <x v="29"/>
    <d v="2021-03-26T00:00:00"/>
    <n v="455390"/>
    <n v="466768"/>
    <n v="466768"/>
    <n v="0"/>
    <n v="0"/>
    <n v="0"/>
    <n v="0"/>
    <n v="4667.68"/>
    <n v="6710"/>
    <n v="462100"/>
    <n v="2000"/>
    <m/>
    <n v="466768"/>
    <n v="70015"/>
    <x v="1"/>
    <x v="0"/>
    <x v="3"/>
    <x v="9"/>
  </r>
  <r>
    <x v="16"/>
    <s v="S17_2021_12"/>
    <x v="0"/>
    <s v="Transversal"/>
    <x v="16"/>
    <s v="Velonasy"/>
    <x v="8"/>
    <x v="43"/>
    <x v="29"/>
    <d v="2021-12-17T00:00:00"/>
    <n v="336000"/>
    <n v="301641"/>
    <n v="341446"/>
    <n v="22592"/>
    <n v="17213"/>
    <n v="0"/>
    <n v="0"/>
    <n v="3414.46"/>
    <n v="2000"/>
    <n v="338032"/>
    <n v="6000"/>
    <m/>
    <n v="341446"/>
    <n v="51217"/>
    <x v="1"/>
    <x v="0"/>
    <x v="4"/>
    <x v="9"/>
  </r>
  <r>
    <x v="18"/>
    <s v="S19_2021_12"/>
    <x v="0"/>
    <s v="Maintenance"/>
    <x v="18"/>
    <s v="Faly"/>
    <x v="7"/>
    <x v="43"/>
    <x v="29"/>
    <d v="2021-03-26T00:00:00"/>
    <n v="634180"/>
    <n v="683939"/>
    <n v="683939"/>
    <n v="0"/>
    <n v="0"/>
    <n v="0"/>
    <n v="0"/>
    <n v="6839.39"/>
    <n v="42920"/>
    <n v="677100"/>
    <n v="0"/>
    <m/>
    <n v="683939"/>
    <n v="102591"/>
    <x v="4"/>
    <x v="0"/>
    <x v="3"/>
    <x v="9"/>
  </r>
  <r>
    <x v="19"/>
    <s v="S20_2021_12"/>
    <x v="3"/>
    <s v="Maintenance"/>
    <x v="19"/>
    <s v="Manitrasina"/>
    <x v="1"/>
    <x v="43"/>
    <x v="29"/>
    <d v="2021-03-26T00:00:00"/>
    <n v="8616"/>
    <n v="10723"/>
    <n v="10723"/>
    <n v="0"/>
    <n v="0"/>
    <n v="0"/>
    <n v="0"/>
    <n v="107.23"/>
    <n v="2000"/>
    <n v="10616"/>
    <n v="0"/>
    <m/>
    <n v="10723"/>
    <n v="1608"/>
    <x v="5"/>
    <x v="0"/>
    <x v="1"/>
    <x v="9"/>
  </r>
  <r>
    <x v="23"/>
    <s v="S24_2021_12"/>
    <x v="2"/>
    <s v="Transversal"/>
    <x v="23"/>
    <s v="Christophe"/>
    <x v="14"/>
    <x v="43"/>
    <x v="29"/>
    <d v="2021-03-26T00:00:00"/>
    <n v="526660"/>
    <n v="551587"/>
    <n v="551587"/>
    <n v="0"/>
    <n v="0"/>
    <n v="0"/>
    <n v="0"/>
    <n v="5515.87"/>
    <n v="19411"/>
    <n v="546071"/>
    <n v="0"/>
    <m/>
    <n v="551587"/>
    <n v="82738"/>
    <x v="8"/>
    <x v="0"/>
    <x v="3"/>
    <x v="9"/>
  </r>
  <r>
    <x v="24"/>
    <s v="S25_2021_12"/>
    <x v="2"/>
    <s v="Maintenance"/>
    <x v="24"/>
    <s v="Doris"/>
    <x v="1"/>
    <x v="43"/>
    <x v="29"/>
    <d v="2021-03-26T00:00:00"/>
    <n v="495299"/>
    <n v="511941"/>
    <n v="511941"/>
    <n v="0"/>
    <n v="0"/>
    <n v="0"/>
    <n v="0"/>
    <n v="5119.41"/>
    <n v="11523"/>
    <n v="506822"/>
    <n v="2000"/>
    <m/>
    <n v="511941"/>
    <n v="76791"/>
    <x v="8"/>
    <x v="1"/>
    <x v="1"/>
    <x v="9"/>
  </r>
  <r>
    <x v="25"/>
    <s v="S26_2021_12"/>
    <x v="0"/>
    <s v="Construction"/>
    <x v="25"/>
    <s v="Anicet"/>
    <x v="5"/>
    <x v="43"/>
    <x v="29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9"/>
  </r>
  <r>
    <x v="27"/>
    <s v="S28_2021_12"/>
    <x v="2"/>
    <s v="Construction"/>
    <x v="27"/>
    <s v="Rodin"/>
    <x v="1"/>
    <x v="43"/>
    <x v="29"/>
    <d v="2021-03-26T00:00:00"/>
    <n v="369500"/>
    <n v="375253"/>
    <n v="375253"/>
    <n v="0"/>
    <n v="0"/>
    <n v="0"/>
    <n v="0"/>
    <n v="3752.53"/>
    <n v="2000"/>
    <n v="371500"/>
    <n v="0"/>
    <m/>
    <n v="375253"/>
    <n v="56288"/>
    <x v="8"/>
    <x v="0"/>
    <x v="1"/>
    <x v="9"/>
  </r>
  <r>
    <x v="29"/>
    <s v="S30_2021_12"/>
    <x v="2"/>
    <s v="Transversal"/>
    <x v="29"/>
    <s v="Marie Jeanne"/>
    <x v="9"/>
    <x v="43"/>
    <x v="29"/>
    <d v="2021-03-26T00:00:00"/>
    <n v="99500"/>
    <n v="102500"/>
    <n v="102500"/>
    <n v="0"/>
    <n v="0"/>
    <n v="0"/>
    <n v="0"/>
    <n v="1025"/>
    <n v="2000"/>
    <n v="101475"/>
    <n v="6000"/>
    <m/>
    <n v="102500"/>
    <n v="15375"/>
    <x v="8"/>
    <x v="0"/>
    <x v="5"/>
    <x v="9"/>
  </r>
  <r>
    <x v="31"/>
    <s v="S32_2021_12"/>
    <x v="0"/>
    <s v="Maintenance"/>
    <x v="31"/>
    <s v="Francot"/>
    <x v="1"/>
    <x v="43"/>
    <x v="29"/>
    <d v="2021-11-26T00:00:00"/>
    <n v="320000"/>
    <n v="325253"/>
    <n v="325253"/>
    <n v="0"/>
    <n v="0"/>
    <n v="0"/>
    <n v="0"/>
    <n v="3252.53"/>
    <n v="2000"/>
    <n v="322000"/>
    <n v="2000"/>
    <m/>
    <n v="325253"/>
    <n v="48788"/>
    <x v="10"/>
    <x v="12"/>
    <x v="1"/>
    <x v="9"/>
  </r>
  <r>
    <x v="32"/>
    <s v="S33_2021_12"/>
    <x v="0"/>
    <s v="Maintenance"/>
    <x v="32"/>
    <s v="Perolin"/>
    <x v="1"/>
    <x v="43"/>
    <x v="29"/>
    <d v="2021-11-26T00:00:00"/>
    <n v="320000"/>
    <n v="325253"/>
    <n v="325253"/>
    <n v="0"/>
    <n v="0"/>
    <n v="0"/>
    <n v="0"/>
    <n v="3252.53"/>
    <n v="2000"/>
    <n v="322000"/>
    <n v="2000"/>
    <m/>
    <n v="325253"/>
    <n v="48788"/>
    <x v="11"/>
    <x v="0"/>
    <x v="1"/>
    <x v="9"/>
  </r>
  <r>
    <x v="30"/>
    <s v="S31_2021_12"/>
    <x v="2"/>
    <s v="Maintenance"/>
    <x v="30"/>
    <s v="Fabiolain"/>
    <x v="1"/>
    <x v="43"/>
    <x v="29"/>
    <d v="2021-12-17T00:00:00"/>
    <e v="#REF!"/>
    <n v="11200"/>
    <e v="#REF!"/>
    <n v="0"/>
    <n v="0"/>
    <n v="0"/>
    <n v="0"/>
    <e v="#REF!"/>
    <e v="#REF!"/>
    <e v="#REF!"/>
    <n v="2000"/>
    <m/>
    <e v="#REF!"/>
    <e v="#REF!"/>
    <x v="9"/>
    <x v="11"/>
    <x v="1"/>
    <x v="9"/>
  </r>
  <r>
    <x v="33"/>
    <s v="S34_2021_12"/>
    <x v="1"/>
    <s v="Transversal"/>
    <x v="33"/>
    <s v="Valérie"/>
    <x v="16"/>
    <x v="43"/>
    <x v="29"/>
    <d v="2021-04-28T00:00:00"/>
    <n v="630000"/>
    <n v="671086"/>
    <n v="671086"/>
    <n v="0"/>
    <n v="0"/>
    <n v="0"/>
    <n v="0"/>
    <n v="6710.86"/>
    <n v="34375"/>
    <n v="664375"/>
    <n v="6000"/>
    <m/>
    <n v="671086"/>
    <n v="100663"/>
    <x v="12"/>
    <x v="0"/>
    <x v="0"/>
    <x v="9"/>
  </r>
  <r>
    <x v="34"/>
    <s v="S35_2021_12"/>
    <x v="3"/>
    <s v="Maintenance"/>
    <x v="34"/>
    <s v="Patrick"/>
    <x v="17"/>
    <x v="43"/>
    <x v="29"/>
    <d v="2021-03-26T00:00:00"/>
    <n v="930000"/>
    <n v="1049874"/>
    <n v="1049874"/>
    <n v="0"/>
    <n v="0"/>
    <n v="0"/>
    <n v="0"/>
    <n v="10498.74"/>
    <n v="109375"/>
    <n v="1039375"/>
    <n v="6000"/>
    <m/>
    <n v="1049874"/>
    <n v="157481"/>
    <x v="13"/>
    <x v="13"/>
    <x v="0"/>
    <x v="9"/>
  </r>
  <r>
    <x v="35"/>
    <s v="S36_2021_12"/>
    <x v="2"/>
    <s v="Transversal"/>
    <x v="35"/>
    <s v="Judicaël"/>
    <x v="3"/>
    <x v="43"/>
    <x v="29"/>
    <d v="2021-12-17T00:00:00"/>
    <n v="14100"/>
    <n v="16250"/>
    <n v="16250"/>
    <n v="0"/>
    <n v="0"/>
    <n v="0"/>
    <n v="0"/>
    <n v="162.5"/>
    <n v="2000"/>
    <n v="16088"/>
    <n v="6000"/>
    <m/>
    <n v="16250"/>
    <n v="2438"/>
    <x v="14"/>
    <x v="14"/>
    <x v="1"/>
    <x v="9"/>
  </r>
  <r>
    <x v="36"/>
    <s v="S37_2021_12"/>
    <x v="2"/>
    <s v="Transversal"/>
    <x v="36"/>
    <s v="Caroline"/>
    <x v="18"/>
    <x v="43"/>
    <x v="29"/>
    <d v="2021-12-17T00:00:00"/>
    <n v="776300"/>
    <n v="855808"/>
    <n v="855808"/>
    <n v="0"/>
    <n v="0"/>
    <n v="0"/>
    <n v="0"/>
    <n v="8558.08"/>
    <n v="70950"/>
    <n v="847250"/>
    <n v="6000"/>
    <m/>
    <n v="855808"/>
    <n v="128371"/>
    <x v="15"/>
    <x v="15"/>
    <x v="0"/>
    <x v="9"/>
  </r>
  <r>
    <x v="37"/>
    <s v="S38_2021_12"/>
    <x v="2"/>
    <s v="Maintenance"/>
    <x v="37"/>
    <s v="Christian"/>
    <x v="7"/>
    <x v="43"/>
    <x v="29"/>
    <d v="2021-12-17T00:00:00"/>
    <n v="519375"/>
    <n v="542929"/>
    <n v="542929"/>
    <n v="0"/>
    <n v="0"/>
    <n v="0"/>
    <n v="0"/>
    <n v="5429.29"/>
    <n v="18125"/>
    <n v="537500"/>
    <n v="0"/>
    <m/>
    <n v="542929"/>
    <n v="81439"/>
    <x v="16"/>
    <x v="0"/>
    <x v="3"/>
    <x v="9"/>
  </r>
  <r>
    <x v="0"/>
    <s v="S01_2022_1"/>
    <x v="0"/>
    <s v="Maintenance"/>
    <x v="0"/>
    <s v="Gaetan"/>
    <x v="0"/>
    <x v="44"/>
    <x v="30"/>
    <d v="2022-01-26T00:00:00"/>
    <n v="1046000"/>
    <n v="1196338"/>
    <n v="1196338"/>
    <n v="0"/>
    <n v="0"/>
    <n v="0"/>
    <n v="0"/>
    <n v="11963.38"/>
    <n v="138375"/>
    <n v="1184375"/>
    <n v="6000"/>
    <s v="Soakoja"/>
    <n v="1196338"/>
    <n v="179451"/>
    <x v="0"/>
    <x v="0"/>
    <x v="0"/>
    <x v="10"/>
  </r>
  <r>
    <x v="1"/>
    <s v="S02_2022_1"/>
    <x v="0"/>
    <s v="Maintenance"/>
    <x v="1"/>
    <s v="Luo"/>
    <x v="1"/>
    <x v="44"/>
    <x v="30"/>
    <d v="2022-01-26T00:00:00"/>
    <n v="425900"/>
    <n v="435859"/>
    <n v="435859"/>
    <n v="0"/>
    <n v="0"/>
    <n v="0"/>
    <n v="0"/>
    <n v="4358.59"/>
    <n v="5650"/>
    <n v="431500"/>
    <n v="0"/>
    <s v="Soakoja"/>
    <n v="435859"/>
    <n v="65379"/>
    <x v="0"/>
    <x v="1"/>
    <x v="1"/>
    <x v="10"/>
  </r>
  <r>
    <x v="2"/>
    <s v="S03_2022_1"/>
    <x v="0"/>
    <s v="Maintenance"/>
    <x v="2"/>
    <s v="Tsilavina"/>
    <x v="1"/>
    <x v="44"/>
    <x v="30"/>
    <d v="2022-01-26T00:00:00"/>
    <n v="398500"/>
    <n v="405556"/>
    <n v="405556"/>
    <n v="0"/>
    <n v="0"/>
    <n v="0"/>
    <n v="0"/>
    <n v="4055.56"/>
    <n v="3000"/>
    <n v="401500"/>
    <n v="0"/>
    <s v="Soakoja"/>
    <n v="405556"/>
    <n v="60833"/>
    <x v="0"/>
    <x v="2"/>
    <x v="1"/>
    <x v="10"/>
  </r>
  <r>
    <x v="4"/>
    <s v="S05_2022_1"/>
    <x v="0"/>
    <s v="Transversal"/>
    <x v="4"/>
    <s v="Florentin"/>
    <x v="3"/>
    <x v="44"/>
    <x v="30"/>
    <d v="2022-01-26T00:00:00"/>
    <n v="531660"/>
    <n v="555152"/>
    <n v="555152"/>
    <n v="0"/>
    <n v="0"/>
    <n v="0"/>
    <n v="0"/>
    <n v="5551.52"/>
    <n v="17940"/>
    <n v="549600"/>
    <n v="2000"/>
    <s v="Soakoja"/>
    <n v="555152"/>
    <n v="83273"/>
    <x v="1"/>
    <x v="0"/>
    <x v="1"/>
    <x v="10"/>
  </r>
  <r>
    <x v="5"/>
    <s v="S06_2022_1"/>
    <x v="1"/>
    <s v="Transversal"/>
    <x v="5"/>
    <s v="Michel"/>
    <x v="4"/>
    <x v="44"/>
    <x v="30"/>
    <d v="2022-01-26T00:00:00"/>
    <n v="563285"/>
    <n v="587980"/>
    <n v="587980"/>
    <n v="0"/>
    <n v="0"/>
    <n v="0"/>
    <n v="0"/>
    <n v="5879.8"/>
    <n v="18815"/>
    <n v="582100"/>
    <n v="6000"/>
    <s v="Soakoja"/>
    <n v="587980"/>
    <n v="88197"/>
    <x v="1"/>
    <x v="1"/>
    <x v="2"/>
    <x v="10"/>
  </r>
  <r>
    <x v="7"/>
    <s v="S08_2022_1"/>
    <x v="0"/>
    <s v="Transversal"/>
    <x v="7"/>
    <s v="Onja"/>
    <x v="6"/>
    <x v="44"/>
    <x v="30"/>
    <d v="2022-01-26T00:00:00"/>
    <n v="804000"/>
    <n v="898359"/>
    <n v="898359"/>
    <n v="0"/>
    <n v="0"/>
    <n v="0"/>
    <n v="0"/>
    <n v="8983.59"/>
    <n v="85375"/>
    <n v="889375"/>
    <n v="0"/>
    <s v="Soakoja"/>
    <n v="898359"/>
    <n v="134754"/>
    <x v="2"/>
    <x v="0"/>
    <x v="0"/>
    <x v="10"/>
  </r>
  <r>
    <x v="8"/>
    <s v="S09_2022_1"/>
    <x v="2"/>
    <s v="Maintenance"/>
    <x v="8"/>
    <s v="Rinon"/>
    <x v="1"/>
    <x v="44"/>
    <x v="30"/>
    <d v="2022-01-26T00:00:00"/>
    <n v="397100"/>
    <n v="404167"/>
    <n v="404167"/>
    <n v="0"/>
    <n v="0"/>
    <n v="0"/>
    <n v="0"/>
    <n v="4041.67"/>
    <n v="3000"/>
    <n v="400125"/>
    <n v="4000"/>
    <s v="Soakoja"/>
    <n v="404167"/>
    <n v="60625"/>
    <x v="1"/>
    <x v="1"/>
    <x v="1"/>
    <x v="10"/>
  </r>
  <r>
    <x v="9"/>
    <s v="S10_2022_1"/>
    <x v="2"/>
    <s v="Maintenance"/>
    <x v="9"/>
    <s v="Alain"/>
    <x v="7"/>
    <x v="44"/>
    <x v="30"/>
    <d v="2022-01-26T00:00:00"/>
    <n v="403500"/>
    <n v="410606"/>
    <n v="410606"/>
    <n v="0"/>
    <n v="0"/>
    <n v="0"/>
    <n v="0"/>
    <n v="4106.0600000000004"/>
    <n v="3000"/>
    <n v="406500"/>
    <n v="2000"/>
    <s v="Soakoja"/>
    <n v="410606"/>
    <n v="61591"/>
    <x v="1"/>
    <x v="0"/>
    <x v="3"/>
    <x v="10"/>
  </r>
  <r>
    <x v="10"/>
    <s v="S11_2022_1"/>
    <x v="0"/>
    <s v="Transversal"/>
    <x v="10"/>
    <s v="Raoul"/>
    <x v="8"/>
    <x v="44"/>
    <x v="30"/>
    <d v="2022-01-26T00:00:00"/>
    <n v="335000"/>
    <n v="301641"/>
    <n v="341446"/>
    <n v="22592"/>
    <n v="17213"/>
    <n v="0"/>
    <n v="0"/>
    <n v="3414.46"/>
    <n v="3000"/>
    <n v="338032"/>
    <n v="6000"/>
    <s v="Soakoja"/>
    <n v="341446"/>
    <n v="51217"/>
    <x v="1"/>
    <x v="0"/>
    <x v="4"/>
    <x v="10"/>
  </r>
  <r>
    <x v="11"/>
    <s v="S12_2022_1"/>
    <x v="0"/>
    <s v="Transversal"/>
    <x v="11"/>
    <s v="Benedictine"/>
    <x v="9"/>
    <x v="44"/>
    <x v="30"/>
    <d v="2022-01-26T00:00:00"/>
    <n v="86500"/>
    <n v="90404"/>
    <n v="90404"/>
    <n v="0"/>
    <n v="0"/>
    <n v="0"/>
    <n v="0"/>
    <n v="904.04"/>
    <n v="3000"/>
    <n v="89500"/>
    <n v="6000"/>
    <s v="Soakoja"/>
    <n v="90404"/>
    <n v="13561"/>
    <x v="1"/>
    <x v="0"/>
    <x v="5"/>
    <x v="10"/>
  </r>
  <r>
    <x v="12"/>
    <s v="S13_2022_1"/>
    <x v="1"/>
    <s v="Transversal"/>
    <x v="12"/>
    <s v="Herizo"/>
    <x v="10"/>
    <x v="44"/>
    <x v="30"/>
    <d v="2022-01-26T00:00:00"/>
    <n v="2146500"/>
    <n v="2578500"/>
    <n v="2578500"/>
    <n v="0"/>
    <n v="0"/>
    <n v="0"/>
    <n v="0"/>
    <n v="16000"/>
    <n v="416000"/>
    <n v="2562500"/>
    <n v="4000"/>
    <s v="Soakoja"/>
    <n v="1904000"/>
    <n v="240000"/>
    <x v="1"/>
    <x v="0"/>
    <x v="0"/>
    <x v="10"/>
  </r>
  <r>
    <x v="13"/>
    <s v="S14_2022_1"/>
    <x v="0"/>
    <s v="Transversal"/>
    <x v="13"/>
    <s v="Rene"/>
    <x v="8"/>
    <x v="44"/>
    <x v="30"/>
    <d v="2022-01-26T00:00:00"/>
    <n v="402600"/>
    <n v="301641"/>
    <n v="409719"/>
    <n v="22592"/>
    <n v="17213"/>
    <n v="0"/>
    <n v="55"/>
    <n v="4097.1899999999996"/>
    <n v="3000"/>
    <n v="405622"/>
    <n v="6000"/>
    <s v="Soakoja"/>
    <n v="409719"/>
    <n v="61458"/>
    <x v="1"/>
    <x v="0"/>
    <x v="4"/>
    <x v="10"/>
  </r>
  <r>
    <x v="14"/>
    <s v="S15_2022_1"/>
    <x v="2"/>
    <s v="Transversal"/>
    <x v="14"/>
    <s v="Chrisos"/>
    <x v="11"/>
    <x v="44"/>
    <x v="30"/>
    <d v="2022-01-26T00:00:00"/>
    <n v="1054000"/>
    <n v="1214015"/>
    <n v="1214015"/>
    <n v="0"/>
    <n v="0"/>
    <n v="0"/>
    <n v="0"/>
    <n v="12140.15"/>
    <n v="147875"/>
    <n v="1201875"/>
    <n v="0"/>
    <s v="Soakoja"/>
    <n v="1214015"/>
    <n v="182102"/>
    <x v="1"/>
    <x v="5"/>
    <x v="0"/>
    <x v="10"/>
  </r>
  <r>
    <x v="15"/>
    <s v="S16_2022_1"/>
    <x v="0"/>
    <s v="Maintenance"/>
    <x v="15"/>
    <s v="Victorien"/>
    <x v="7"/>
    <x v="44"/>
    <x v="30"/>
    <d v="2022-01-26T00:00:00"/>
    <n v="455390"/>
    <n v="466768"/>
    <n v="466768"/>
    <n v="0"/>
    <n v="0"/>
    <n v="0"/>
    <n v="0"/>
    <n v="4667.68"/>
    <n v="6710"/>
    <n v="462100"/>
    <n v="2000"/>
    <s v="Soakoja"/>
    <n v="466768"/>
    <n v="70015"/>
    <x v="1"/>
    <x v="0"/>
    <x v="3"/>
    <x v="10"/>
  </r>
  <r>
    <x v="16"/>
    <s v="S17_2022_1"/>
    <x v="0"/>
    <s v="Transversal"/>
    <x v="16"/>
    <s v="Velonasy"/>
    <x v="8"/>
    <x v="44"/>
    <x v="30"/>
    <d v="2022-01-26T00:00:00"/>
    <n v="413700"/>
    <n v="301641"/>
    <n v="420891"/>
    <n v="22592"/>
    <n v="17213"/>
    <n v="1"/>
    <n v="59"/>
    <n v="4208.91"/>
    <n v="3000"/>
    <n v="416682"/>
    <n v="6000"/>
    <s v="Soakoja"/>
    <n v="420891"/>
    <n v="63134"/>
    <x v="1"/>
    <x v="0"/>
    <x v="4"/>
    <x v="10"/>
  </r>
  <r>
    <x v="18"/>
    <s v="S19_2022_1"/>
    <x v="0"/>
    <s v="Maintenance"/>
    <x v="18"/>
    <s v="Faly"/>
    <x v="7"/>
    <x v="44"/>
    <x v="30"/>
    <d v="2022-01-26T00:00:00"/>
    <n v="634180"/>
    <n v="683939"/>
    <n v="683939"/>
    <n v="0"/>
    <n v="0"/>
    <n v="0"/>
    <n v="0"/>
    <n v="6839.39"/>
    <n v="42920"/>
    <n v="677100"/>
    <n v="0"/>
    <s v="Soakoja"/>
    <n v="683939"/>
    <n v="102591"/>
    <x v="4"/>
    <x v="0"/>
    <x v="3"/>
    <x v="10"/>
  </r>
  <r>
    <x v="19"/>
    <s v="S20_2022_1"/>
    <x v="3"/>
    <s v="Maintenance"/>
    <x v="19"/>
    <s v="Manitrasina"/>
    <x v="1"/>
    <x v="44"/>
    <x v="30"/>
    <d v="2022-01-26T00:00:00"/>
    <n v="5769"/>
    <n v="8858"/>
    <n v="8858"/>
    <n v="0"/>
    <n v="0"/>
    <n v="0"/>
    <n v="0"/>
    <n v="88.58"/>
    <n v="3000"/>
    <n v="8769"/>
    <n v="0"/>
    <s v="Soakoja"/>
    <n v="8858"/>
    <n v="1329"/>
    <x v="5"/>
    <x v="0"/>
    <x v="1"/>
    <x v="10"/>
  </r>
  <r>
    <x v="23"/>
    <s v="S24_2022_1"/>
    <x v="2"/>
    <s v="Transversal"/>
    <x v="23"/>
    <s v="Christophe"/>
    <x v="14"/>
    <x v="44"/>
    <x v="30"/>
    <d v="2022-01-26T00:00:00"/>
    <n v="526660"/>
    <n v="551587"/>
    <n v="551587"/>
    <n v="0"/>
    <n v="0"/>
    <n v="0"/>
    <n v="0"/>
    <n v="5515.87"/>
    <n v="19411"/>
    <n v="546071"/>
    <n v="0"/>
    <s v="Soakoja"/>
    <n v="551587"/>
    <n v="82738"/>
    <x v="8"/>
    <x v="0"/>
    <x v="3"/>
    <x v="10"/>
  </r>
  <r>
    <x v="24"/>
    <s v="S25_2022_1"/>
    <x v="2"/>
    <s v="Maintenance"/>
    <x v="24"/>
    <s v="Doris"/>
    <x v="1"/>
    <x v="44"/>
    <x v="30"/>
    <d v="2022-01-26T00:00:00"/>
    <n v="495299"/>
    <n v="511941"/>
    <n v="511941"/>
    <n v="0"/>
    <n v="0"/>
    <n v="0"/>
    <n v="0"/>
    <n v="5119.41"/>
    <n v="11523"/>
    <n v="506822"/>
    <n v="2000"/>
    <s v="Soakoja"/>
    <n v="511941"/>
    <n v="76791"/>
    <x v="8"/>
    <x v="1"/>
    <x v="1"/>
    <x v="10"/>
  </r>
  <r>
    <x v="25"/>
    <s v="S26_2022_1"/>
    <x v="0"/>
    <s v="Construction"/>
    <x v="25"/>
    <s v="Anicet"/>
    <x v="5"/>
    <x v="44"/>
    <x v="30"/>
    <d v="2022-01-26T00:00:00"/>
    <n v="368500"/>
    <n v="375253"/>
    <n v="375253"/>
    <n v="0"/>
    <n v="0"/>
    <n v="0"/>
    <n v="0"/>
    <n v="3752.53"/>
    <n v="3000"/>
    <n v="371500"/>
    <n v="0"/>
    <s v="Soakoja"/>
    <n v="375253"/>
    <n v="56288"/>
    <x v="8"/>
    <x v="0"/>
    <x v="1"/>
    <x v="10"/>
  </r>
  <r>
    <x v="27"/>
    <s v="S28_2022_1"/>
    <x v="2"/>
    <s v="Construction"/>
    <x v="27"/>
    <s v="Rodin"/>
    <x v="1"/>
    <x v="44"/>
    <x v="30"/>
    <d v="2022-01-26T00:00:00"/>
    <n v="368500"/>
    <n v="375253"/>
    <n v="375253"/>
    <n v="0"/>
    <n v="0"/>
    <n v="0"/>
    <n v="0"/>
    <n v="3752.53"/>
    <n v="3000"/>
    <n v="371500"/>
    <n v="0"/>
    <s v="Soakoja"/>
    <n v="375253"/>
    <n v="56288"/>
    <x v="8"/>
    <x v="0"/>
    <x v="1"/>
    <x v="10"/>
  </r>
  <r>
    <x v="29"/>
    <s v="S30_2022_1"/>
    <x v="2"/>
    <s v="Transversal"/>
    <x v="29"/>
    <s v="Marie Jeanne"/>
    <x v="9"/>
    <x v="44"/>
    <x v="30"/>
    <d v="2022-01-26T00:00:00"/>
    <n v="98500"/>
    <n v="102500"/>
    <n v="102500"/>
    <n v="0"/>
    <n v="0"/>
    <n v="0"/>
    <n v="0"/>
    <n v="1025"/>
    <n v="3000"/>
    <n v="101475"/>
    <n v="6000"/>
    <s v="Soakoja"/>
    <n v="102500"/>
    <n v="15375"/>
    <x v="8"/>
    <x v="0"/>
    <x v="5"/>
    <x v="10"/>
  </r>
  <r>
    <x v="31"/>
    <s v="S32_2022_1"/>
    <x v="0"/>
    <s v="Maintenance"/>
    <x v="31"/>
    <s v="Francot"/>
    <x v="1"/>
    <x v="44"/>
    <x v="30"/>
    <d v="2022-01-26T00:00:00"/>
    <n v="319000"/>
    <n v="325253"/>
    <n v="325253"/>
    <n v="0"/>
    <n v="0"/>
    <n v="0"/>
    <n v="0"/>
    <n v="3252.53"/>
    <n v="3000"/>
    <n v="322000"/>
    <n v="2000"/>
    <s v="Soakoja"/>
    <n v="325253"/>
    <n v="48788"/>
    <x v="10"/>
    <x v="12"/>
    <x v="1"/>
    <x v="10"/>
  </r>
  <r>
    <x v="32"/>
    <s v="S33_2022_1"/>
    <x v="0"/>
    <s v="Maintenance"/>
    <x v="32"/>
    <s v="Perolin"/>
    <x v="1"/>
    <x v="44"/>
    <x v="30"/>
    <d v="2022-01-26T00:00:00"/>
    <n v="319000"/>
    <n v="325253"/>
    <n v="325253"/>
    <n v="0"/>
    <n v="0"/>
    <n v="0"/>
    <n v="0"/>
    <n v="3252.53"/>
    <n v="3000"/>
    <n v="322000"/>
    <n v="2000"/>
    <s v="Soakoja"/>
    <n v="325253"/>
    <n v="48788"/>
    <x v="11"/>
    <x v="0"/>
    <x v="1"/>
    <x v="10"/>
  </r>
  <r>
    <x v="30"/>
    <s v="S31_2022_1"/>
    <x v="2"/>
    <s v="Maintenance"/>
    <x v="30"/>
    <s v="Fabiolain"/>
    <x v="1"/>
    <x v="44"/>
    <x v="30"/>
    <d v="2022-01-26T00:00:00"/>
    <e v="#REF!"/>
    <n v="11200"/>
    <e v="#REF!"/>
    <n v="0"/>
    <n v="0"/>
    <n v="0"/>
    <n v="0"/>
    <e v="#REF!"/>
    <e v="#REF!"/>
    <e v="#REF!"/>
    <n v="2000"/>
    <s v="Soakoja"/>
    <e v="#REF!"/>
    <e v="#REF!"/>
    <x v="9"/>
    <x v="11"/>
    <x v="1"/>
    <x v="10"/>
  </r>
  <r>
    <x v="33"/>
    <s v="S34_2022_1"/>
    <x v="1"/>
    <s v="Transversal"/>
    <x v="33"/>
    <s v="Valérie"/>
    <x v="16"/>
    <x v="44"/>
    <x v="30"/>
    <d v="2022-01-26T00:00:00"/>
    <n v="630000"/>
    <n v="671086"/>
    <n v="671086"/>
    <n v="0"/>
    <n v="0"/>
    <n v="0"/>
    <n v="0"/>
    <n v="6710.86"/>
    <n v="34375"/>
    <n v="664375"/>
    <n v="6000"/>
    <s v="Soakoja"/>
    <n v="671086"/>
    <n v="100663"/>
    <x v="12"/>
    <x v="0"/>
    <x v="0"/>
    <x v="10"/>
  </r>
  <r>
    <x v="34"/>
    <s v="S35_2022_1"/>
    <x v="3"/>
    <s v="Maintenance"/>
    <x v="34"/>
    <s v="Patrick"/>
    <x v="17"/>
    <x v="44"/>
    <x v="30"/>
    <d v="2022-01-26T00:00:00"/>
    <n v="930000"/>
    <n v="1049874"/>
    <n v="1049874"/>
    <n v="0"/>
    <n v="0"/>
    <n v="0"/>
    <n v="0"/>
    <n v="10498.74"/>
    <n v="109375"/>
    <n v="1039375"/>
    <n v="6000"/>
    <s v="Soakoja"/>
    <n v="1049874"/>
    <n v="157481"/>
    <x v="13"/>
    <x v="13"/>
    <x v="0"/>
    <x v="10"/>
  </r>
  <r>
    <x v="35"/>
    <s v="S36_2022_1"/>
    <x v="2"/>
    <s v="Transversal"/>
    <x v="35"/>
    <s v="Judicaël"/>
    <x v="3"/>
    <x v="44"/>
    <x v="30"/>
    <d v="2022-01-26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0"/>
  </r>
  <r>
    <x v="37"/>
    <s v="S38_2022_1"/>
    <x v="2"/>
    <s v="Maintenance"/>
    <x v="37"/>
    <s v="Christian"/>
    <x v="7"/>
    <x v="44"/>
    <x v="30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0"/>
  </r>
  <r>
    <x v="38"/>
    <s v="S39_2022_1"/>
    <x v="3"/>
    <s v="Maintenance"/>
    <x v="38"/>
    <s v="Lydie"/>
    <x v="19"/>
    <x v="44"/>
    <x v="30"/>
    <d v="2022-01-26T00:00:00"/>
    <n v="772500"/>
    <n v="858586"/>
    <n v="858586"/>
    <n v="0"/>
    <n v="0"/>
    <n v="0"/>
    <n v="0"/>
    <n v="8585.86"/>
    <n v="77500"/>
    <n v="850000"/>
    <n v="0"/>
    <s v="Soakoja"/>
    <n v="858586"/>
    <n v="128788"/>
    <x v="17"/>
    <x v="0"/>
    <x v="3"/>
    <x v="10"/>
  </r>
  <r>
    <x v="39"/>
    <s v="S40_2022_1"/>
    <x v="3"/>
    <s v="Maintenance"/>
    <x v="39"/>
    <s v="Nalaina"/>
    <x v="20"/>
    <x v="44"/>
    <x v="30"/>
    <d v="2022-01-26T00:00:00"/>
    <n v="774500"/>
    <n v="858586"/>
    <n v="858586"/>
    <n v="0"/>
    <n v="0"/>
    <n v="0"/>
    <n v="0"/>
    <n v="8585.86"/>
    <n v="75500"/>
    <n v="850000"/>
    <n v="2000"/>
    <s v="Soakoja"/>
    <n v="858586"/>
    <n v="128788"/>
    <x v="17"/>
    <x v="16"/>
    <x v="3"/>
    <x v="10"/>
  </r>
  <r>
    <x v="0"/>
    <s v="S01_2022_2"/>
    <x v="0"/>
    <s v="Maintenance"/>
    <x v="0"/>
    <s v="Gaetan"/>
    <x v="0"/>
    <x v="45"/>
    <x v="31"/>
    <d v="2022-02-24T00:00:00"/>
    <n v="1100000"/>
    <n v="1264520"/>
    <n v="1264520"/>
    <n v="0"/>
    <n v="0"/>
    <n v="0"/>
    <n v="0"/>
    <n v="12645.2"/>
    <n v="151875"/>
    <n v="1251875"/>
    <n v="6000"/>
    <s v="Soakoja"/>
    <n v="1264520"/>
    <n v="189678"/>
    <x v="0"/>
    <x v="0"/>
    <x v="0"/>
    <x v="10"/>
  </r>
  <r>
    <x v="1"/>
    <s v="S02_2022_2"/>
    <x v="0"/>
    <s v="Maintenance"/>
    <x v="1"/>
    <s v="Luo"/>
    <x v="1"/>
    <x v="45"/>
    <x v="31"/>
    <d v="2022-02-24T00:00:00"/>
    <n v="480000"/>
    <n v="496633"/>
    <n v="496633"/>
    <n v="0"/>
    <n v="0"/>
    <n v="0"/>
    <n v="0"/>
    <n v="4966.33"/>
    <n v="11667"/>
    <n v="491667"/>
    <n v="0"/>
    <s v="Soakoja"/>
    <n v="496633"/>
    <n v="74495"/>
    <x v="0"/>
    <x v="1"/>
    <x v="1"/>
    <x v="10"/>
  </r>
  <r>
    <x v="2"/>
    <s v="S03_2022_2"/>
    <x v="0"/>
    <s v="Maintenance"/>
    <x v="2"/>
    <s v="Tsilavina"/>
    <x v="1"/>
    <x v="45"/>
    <x v="31"/>
    <d v="2022-02-24T00:00:00"/>
    <n v="442000"/>
    <n v="451739"/>
    <n v="451739"/>
    <n v="0"/>
    <n v="0"/>
    <n v="0"/>
    <n v="0"/>
    <n v="4517.3900000000003"/>
    <n v="5222"/>
    <n v="447222"/>
    <n v="2000"/>
    <s v="Soakoja"/>
    <n v="451739"/>
    <n v="67761"/>
    <x v="0"/>
    <x v="2"/>
    <x v="1"/>
    <x v="10"/>
  </r>
  <r>
    <x v="4"/>
    <s v="S05_2022_2"/>
    <x v="0"/>
    <s v="Transversal"/>
    <x v="4"/>
    <s v="Florentin"/>
    <x v="3"/>
    <x v="45"/>
    <x v="31"/>
    <d v="2022-02-24T00:00:00"/>
    <n v="592000"/>
    <n v="625631"/>
    <n v="625631"/>
    <n v="0"/>
    <n v="0"/>
    <n v="0"/>
    <n v="0"/>
    <n v="6256.31"/>
    <n v="27375"/>
    <n v="619375"/>
    <n v="4000"/>
    <s v="Soakoja"/>
    <n v="625631"/>
    <n v="93845"/>
    <x v="1"/>
    <x v="0"/>
    <x v="1"/>
    <x v="10"/>
  </r>
  <r>
    <x v="5"/>
    <s v="S06_2022_2"/>
    <x v="1"/>
    <s v="Transversal"/>
    <x v="5"/>
    <s v="Michel"/>
    <x v="4"/>
    <x v="45"/>
    <x v="31"/>
    <d v="2022-02-24T00:00:00"/>
    <n v="590000"/>
    <n v="620581"/>
    <n v="620581"/>
    <n v="0"/>
    <n v="0"/>
    <n v="0"/>
    <n v="0"/>
    <n v="6205.81"/>
    <n v="24375"/>
    <n v="614375"/>
    <n v="6000"/>
    <s v="Soakoja"/>
    <n v="620581"/>
    <n v="93087"/>
    <x v="1"/>
    <x v="1"/>
    <x v="2"/>
    <x v="10"/>
  </r>
  <r>
    <x v="7"/>
    <s v="S08_2022_2"/>
    <x v="0"/>
    <s v="Transversal"/>
    <x v="7"/>
    <s v="Onja"/>
    <x v="6"/>
    <x v="45"/>
    <x v="31"/>
    <d v="2022-02-24T00:00:00"/>
    <n v="890000"/>
    <n v="1006944"/>
    <n v="1006944"/>
    <n v="0"/>
    <n v="0"/>
    <n v="0"/>
    <n v="0"/>
    <n v="10069.44"/>
    <n v="106875"/>
    <n v="996875"/>
    <n v="0"/>
    <s v="Soakoja"/>
    <n v="1006944"/>
    <n v="151042"/>
    <x v="2"/>
    <x v="0"/>
    <x v="0"/>
    <x v="10"/>
  </r>
  <r>
    <x v="8"/>
    <s v="S09_2022_2"/>
    <x v="2"/>
    <s v="Maintenance"/>
    <x v="8"/>
    <s v="Rinon"/>
    <x v="1"/>
    <x v="45"/>
    <x v="31"/>
    <d v="2022-02-24T00:00:00"/>
    <n v="450000"/>
    <n v="458474"/>
    <n v="458474"/>
    <n v="0"/>
    <n v="0"/>
    <n v="0"/>
    <n v="0"/>
    <n v="4584.74"/>
    <n v="3889"/>
    <n v="453889"/>
    <n v="4000"/>
    <s v="Soakoja"/>
    <n v="458474"/>
    <n v="68771"/>
    <x v="1"/>
    <x v="1"/>
    <x v="1"/>
    <x v="10"/>
  </r>
  <r>
    <x v="9"/>
    <s v="S10_2022_2"/>
    <x v="2"/>
    <s v="Maintenance"/>
    <x v="9"/>
    <s v="Alain"/>
    <x v="7"/>
    <x v="45"/>
    <x v="31"/>
    <d v="2022-02-24T00:00:00"/>
    <n v="440000"/>
    <n v="449495"/>
    <n v="449495"/>
    <n v="0"/>
    <n v="0"/>
    <n v="0"/>
    <n v="0"/>
    <n v="4494.95"/>
    <n v="5000"/>
    <n v="445000"/>
    <n v="2000"/>
    <s v="Soakoja"/>
    <n v="449495"/>
    <n v="67424"/>
    <x v="1"/>
    <x v="0"/>
    <x v="3"/>
    <x v="10"/>
  </r>
  <r>
    <x v="10"/>
    <s v="S11_2022_2"/>
    <x v="0"/>
    <s v="Transversal"/>
    <x v="10"/>
    <s v="Raoul"/>
    <x v="8"/>
    <x v="45"/>
    <x v="31"/>
    <d v="2022-02-24T00:00:00"/>
    <n v="376800"/>
    <n v="332845"/>
    <n v="383617"/>
    <n v="24929"/>
    <n v="18994"/>
    <n v="1"/>
    <n v="0"/>
    <n v="3836.17"/>
    <n v="3000"/>
    <n v="379781"/>
    <n v="6000"/>
    <s v="Soakoja"/>
    <n v="383617"/>
    <n v="57543"/>
    <x v="1"/>
    <x v="0"/>
    <x v="4"/>
    <x v="10"/>
  </r>
  <r>
    <x v="11"/>
    <s v="S12_2022_2"/>
    <x v="0"/>
    <s v="Transversal"/>
    <x v="11"/>
    <s v="Benedictine"/>
    <x v="9"/>
    <x v="45"/>
    <x v="31"/>
    <d v="2022-02-24T00:00:00"/>
    <n v="95000"/>
    <n v="98990"/>
    <n v="98990"/>
    <n v="0"/>
    <n v="0"/>
    <n v="0"/>
    <n v="0"/>
    <n v="989.9"/>
    <n v="3000"/>
    <n v="98000"/>
    <n v="6000"/>
    <s v="Soakoja"/>
    <n v="98990"/>
    <n v="14849"/>
    <x v="1"/>
    <x v="0"/>
    <x v="5"/>
    <x v="10"/>
  </r>
  <r>
    <x v="12"/>
    <s v="S13_2022_2"/>
    <x v="1"/>
    <s v="Transversal"/>
    <x v="12"/>
    <s v="Herizo"/>
    <x v="10"/>
    <x v="45"/>
    <x v="31"/>
    <d v="2022-01-26T00:00:00"/>
    <n v="2146500"/>
    <n v="2578500"/>
    <n v="2578500"/>
    <n v="0"/>
    <n v="0"/>
    <n v="0"/>
    <n v="0"/>
    <n v="16000"/>
    <n v="416000"/>
    <n v="2562500"/>
    <n v="4000"/>
    <s v="Soakoja"/>
    <n v="1904000"/>
    <n v="240000"/>
    <x v="1"/>
    <x v="0"/>
    <x v="0"/>
    <x v="10"/>
  </r>
  <r>
    <x v="13"/>
    <s v="S14_2022_2"/>
    <x v="0"/>
    <s v="Transversal"/>
    <x v="13"/>
    <s v="Rene"/>
    <x v="8"/>
    <x v="45"/>
    <x v="31"/>
    <d v="2022-02-24T00:00:00"/>
    <n v="370000"/>
    <n v="332845"/>
    <n v="376768"/>
    <n v="24929"/>
    <n v="18994"/>
    <n v="0"/>
    <n v="0"/>
    <n v="3767.68"/>
    <n v="3000"/>
    <n v="373000"/>
    <n v="6000"/>
    <s v="Soakoja"/>
    <n v="376768"/>
    <n v="56515"/>
    <x v="1"/>
    <x v="0"/>
    <x v="4"/>
    <x v="10"/>
  </r>
  <r>
    <x v="14"/>
    <s v="S15_2022_2"/>
    <x v="2"/>
    <s v="Transversal"/>
    <x v="14"/>
    <s v="Chrisos"/>
    <x v="11"/>
    <x v="45"/>
    <x v="31"/>
    <d v="2022-02-24T00:00:00"/>
    <n v="1175000"/>
    <n v="1366793"/>
    <n v="1366793"/>
    <n v="0"/>
    <n v="0"/>
    <n v="0"/>
    <n v="0"/>
    <n v="13667.93"/>
    <n v="178125"/>
    <n v="1353125"/>
    <n v="0"/>
    <s v="Soakoja"/>
    <n v="1366793"/>
    <n v="205019"/>
    <x v="1"/>
    <x v="5"/>
    <x v="0"/>
    <x v="10"/>
  </r>
  <r>
    <x v="15"/>
    <s v="S16_2022_2"/>
    <x v="0"/>
    <s v="Maintenance"/>
    <x v="15"/>
    <s v="Victorien"/>
    <x v="7"/>
    <x v="45"/>
    <x v="31"/>
    <d v="2022-02-24T00:00:00"/>
    <n v="490000"/>
    <n v="505644"/>
    <n v="505644"/>
    <n v="0"/>
    <n v="0"/>
    <n v="0"/>
    <n v="0"/>
    <n v="5056.4399999999996"/>
    <n v="10588"/>
    <n v="500588"/>
    <n v="2000"/>
    <s v="Soakoja"/>
    <n v="505644"/>
    <n v="75847"/>
    <x v="1"/>
    <x v="0"/>
    <x v="3"/>
    <x v="10"/>
  </r>
  <r>
    <x v="16"/>
    <s v="S17_2022_2"/>
    <x v="0"/>
    <s v="Transversal"/>
    <x v="16"/>
    <s v="Velonasy"/>
    <x v="8"/>
    <x v="45"/>
    <x v="31"/>
    <d v="2022-02-24T00:00:00"/>
    <n v="370000"/>
    <n v="332845"/>
    <n v="376768"/>
    <n v="24929"/>
    <n v="18994"/>
    <n v="0"/>
    <n v="0"/>
    <n v="3767.68"/>
    <n v="3000"/>
    <n v="373000"/>
    <n v="6000"/>
    <s v="Soakoja"/>
    <n v="376768"/>
    <n v="56515"/>
    <x v="1"/>
    <x v="0"/>
    <x v="4"/>
    <x v="10"/>
  </r>
  <r>
    <x v="18"/>
    <s v="S19_2022_2"/>
    <x v="0"/>
    <s v="Maintenance"/>
    <x v="18"/>
    <s v="Faly"/>
    <x v="7"/>
    <x v="45"/>
    <x v="31"/>
    <d v="2022-02-24T00:00:00"/>
    <n v="702000"/>
    <n v="767045"/>
    <n v="767045"/>
    <n v="0"/>
    <n v="0"/>
    <n v="0"/>
    <n v="0"/>
    <n v="7670.45"/>
    <n v="57375"/>
    <n v="759375"/>
    <n v="2000"/>
    <s v="Soakoja"/>
    <n v="767045"/>
    <n v="115057"/>
    <x v="4"/>
    <x v="0"/>
    <x v="3"/>
    <x v="10"/>
  </r>
  <r>
    <x v="19"/>
    <s v="S20_2022_2"/>
    <x v="3"/>
    <s v="Maintenance"/>
    <x v="19"/>
    <s v="Manitrasina"/>
    <x v="1"/>
    <x v="45"/>
    <x v="31"/>
    <d v="2022-02-24T00:00:00"/>
    <n v="6682"/>
    <n v="9780"/>
    <n v="9780"/>
    <n v="0"/>
    <n v="0"/>
    <n v="0"/>
    <n v="0"/>
    <n v="97.8"/>
    <n v="3000"/>
    <n v="9682"/>
    <n v="0"/>
    <s v="Soakoja"/>
    <n v="9780"/>
    <n v="1467"/>
    <x v="5"/>
    <x v="0"/>
    <x v="1"/>
    <x v="10"/>
  </r>
  <r>
    <x v="23"/>
    <s v="S24_2022_2"/>
    <x v="2"/>
    <s v="Transversal"/>
    <x v="23"/>
    <s v="Christophe"/>
    <x v="14"/>
    <x v="45"/>
    <x v="31"/>
    <d v="2022-02-24T00:00:00"/>
    <n v="570000"/>
    <n v="603090"/>
    <n v="603090"/>
    <n v="0"/>
    <n v="0"/>
    <n v="0"/>
    <n v="0"/>
    <n v="6030.9"/>
    <n v="27059"/>
    <n v="597059"/>
    <n v="0"/>
    <s v="Soakoja"/>
    <n v="603090"/>
    <n v="90464"/>
    <x v="8"/>
    <x v="0"/>
    <x v="3"/>
    <x v="10"/>
  </r>
  <r>
    <x v="24"/>
    <s v="S25_2022_2"/>
    <x v="2"/>
    <s v="Maintenance"/>
    <x v="24"/>
    <s v="Doris"/>
    <x v="1"/>
    <x v="45"/>
    <x v="31"/>
    <d v="2022-02-24T00:00:00"/>
    <n v="527000"/>
    <n v="547237"/>
    <n v="547237"/>
    <n v="0"/>
    <n v="0"/>
    <n v="0"/>
    <n v="0"/>
    <n v="5472.37"/>
    <n v="14765"/>
    <n v="541765"/>
    <n v="4000"/>
    <s v="Soakoja"/>
    <n v="547237"/>
    <n v="82086"/>
    <x v="8"/>
    <x v="1"/>
    <x v="1"/>
    <x v="10"/>
  </r>
  <r>
    <x v="25"/>
    <s v="S26_2022_2"/>
    <x v="0"/>
    <s v="Construction"/>
    <x v="25"/>
    <s v="Anicet"/>
    <x v="5"/>
    <x v="45"/>
    <x v="31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0"/>
  </r>
  <r>
    <x v="27"/>
    <s v="S28_2022_2"/>
    <x v="2"/>
    <s v="Construction"/>
    <x v="27"/>
    <s v="Rodin"/>
    <x v="1"/>
    <x v="45"/>
    <x v="31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0"/>
  </r>
  <r>
    <x v="29"/>
    <s v="S30_2022_2"/>
    <x v="2"/>
    <s v="Transversal"/>
    <x v="29"/>
    <s v="Marie Jeanne"/>
    <x v="9"/>
    <x v="45"/>
    <x v="31"/>
    <d v="2022-02-24T00:00:00"/>
    <n v="105000"/>
    <n v="109091"/>
    <n v="109091"/>
    <n v="0"/>
    <n v="0"/>
    <n v="0"/>
    <n v="0"/>
    <n v="1090.9100000000001"/>
    <n v="3000"/>
    <n v="108000"/>
    <n v="6000"/>
    <s v="Soakoja"/>
    <n v="109091"/>
    <n v="16364"/>
    <x v="8"/>
    <x v="0"/>
    <x v="5"/>
    <x v="10"/>
  </r>
  <r>
    <x v="31"/>
    <s v="S32_2022_2"/>
    <x v="0"/>
    <s v="Maintenance"/>
    <x v="31"/>
    <s v="Francot"/>
    <x v="1"/>
    <x v="45"/>
    <x v="31"/>
    <d v="2022-02-24T00:00:00"/>
    <n v="360000"/>
    <n v="366667"/>
    <n v="366667"/>
    <n v="0"/>
    <n v="0"/>
    <n v="0"/>
    <n v="0"/>
    <n v="3666.67"/>
    <n v="3000"/>
    <n v="363000"/>
    <n v="2000"/>
    <s v="Soakoja"/>
    <n v="366667"/>
    <n v="55000"/>
    <x v="10"/>
    <x v="12"/>
    <x v="1"/>
    <x v="10"/>
  </r>
  <r>
    <x v="32"/>
    <s v="S33_2022_2"/>
    <x v="0"/>
    <s v="Maintenance"/>
    <x v="32"/>
    <s v="Perolin"/>
    <x v="1"/>
    <x v="45"/>
    <x v="31"/>
    <d v="2022-02-24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11"/>
    <x v="0"/>
    <x v="1"/>
    <x v="10"/>
  </r>
  <r>
    <x v="30"/>
    <s v="S31_2022_2"/>
    <x v="2"/>
    <s v="Maintenance"/>
    <x v="30"/>
    <s v="Fabiolain"/>
    <x v="1"/>
    <x v="45"/>
    <x v="31"/>
    <d v="2022-02-24T00:00:00"/>
    <e v="#REF!"/>
    <n v="12800"/>
    <e v="#REF!"/>
    <n v="0"/>
    <n v="0"/>
    <n v="0"/>
    <n v="0"/>
    <e v="#REF!"/>
    <e v="#REF!"/>
    <e v="#REF!"/>
    <n v="2000"/>
    <s v="Soakoja"/>
    <e v="#REF!"/>
    <e v="#REF!"/>
    <x v="9"/>
    <x v="11"/>
    <x v="1"/>
    <x v="10"/>
  </r>
  <r>
    <x v="33"/>
    <s v="S34_2022_2"/>
    <x v="1"/>
    <s v="Transversal"/>
    <x v="33"/>
    <s v="Valérie"/>
    <x v="16"/>
    <x v="45"/>
    <x v="31"/>
    <d v="2022-02-24T00:00:00"/>
    <n v="720000"/>
    <n v="784722"/>
    <n v="784722"/>
    <n v="0"/>
    <n v="0"/>
    <n v="0"/>
    <n v="0"/>
    <n v="7847.22"/>
    <n v="56875"/>
    <n v="776875"/>
    <n v="6000"/>
    <s v="Soakoja"/>
    <n v="784722"/>
    <n v="117708"/>
    <x v="12"/>
    <x v="0"/>
    <x v="0"/>
    <x v="10"/>
  </r>
  <r>
    <x v="35"/>
    <s v="S36_2022_2"/>
    <x v="2"/>
    <s v="Transversal"/>
    <x v="35"/>
    <s v="Judicaël "/>
    <x v="3"/>
    <x v="45"/>
    <x v="31"/>
    <d v="2022-02-24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0"/>
  </r>
  <r>
    <x v="37"/>
    <s v="S38_2022_2"/>
    <x v="2"/>
    <s v="Maintenance"/>
    <x v="37"/>
    <s v="Christian"/>
    <x v="7"/>
    <x v="45"/>
    <x v="31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0"/>
  </r>
  <r>
    <x v="38"/>
    <s v="S39_2022_2"/>
    <x v="3"/>
    <s v="Maintenance"/>
    <x v="38"/>
    <s v="Lydie"/>
    <x v="19"/>
    <x v="45"/>
    <x v="31"/>
    <d v="2022-01-26T00:00:00"/>
    <n v="772500"/>
    <n v="858586"/>
    <n v="858586"/>
    <n v="0"/>
    <n v="0"/>
    <n v="0"/>
    <n v="0"/>
    <n v="8585.86"/>
    <n v="77500"/>
    <n v="850000"/>
    <n v="0"/>
    <s v="Soakoja"/>
    <n v="858586"/>
    <n v="128788"/>
    <x v="17"/>
    <x v="0"/>
    <x v="3"/>
    <x v="10"/>
  </r>
  <r>
    <x v="39"/>
    <s v="S40_2022_2"/>
    <x v="3"/>
    <s v="Maintenance"/>
    <x v="39"/>
    <s v="Nalaina"/>
    <x v="20"/>
    <x v="45"/>
    <x v="31"/>
    <d v="2022-01-26T00:00:00"/>
    <n v="774500"/>
    <n v="858586"/>
    <n v="858586"/>
    <n v="0"/>
    <n v="0"/>
    <n v="0"/>
    <n v="0"/>
    <n v="8585.86"/>
    <n v="75500"/>
    <n v="850000"/>
    <n v="2000"/>
    <s v="Soakoja"/>
    <n v="858586"/>
    <n v="128788"/>
    <x v="17"/>
    <x v="16"/>
    <x v="3"/>
    <x v="10"/>
  </r>
  <r>
    <x v="0"/>
    <s v="S01_2022_3"/>
    <x v="0"/>
    <s v="Maintenance"/>
    <x v="0"/>
    <s v="Gaetan"/>
    <x v="0"/>
    <x v="46"/>
    <x v="32"/>
    <d v="2022-02-24T00:00:00"/>
    <n v="1100000"/>
    <n v="1264520"/>
    <n v="1264520"/>
    <n v="0"/>
    <n v="0"/>
    <n v="0"/>
    <n v="0"/>
    <n v="12645.2"/>
    <n v="151875"/>
    <n v="1251875"/>
    <n v="6000"/>
    <s v="Fanainga"/>
    <n v="1264520"/>
    <n v="189678"/>
    <x v="0"/>
    <x v="0"/>
    <x v="0"/>
    <x v="10"/>
  </r>
  <r>
    <x v="1"/>
    <s v="S02_2022_3"/>
    <x v="0"/>
    <s v="Maintenance"/>
    <x v="1"/>
    <s v="Luo"/>
    <x v="1"/>
    <x v="46"/>
    <x v="32"/>
    <d v="2022-02-24T00:00:00"/>
    <n v="480000"/>
    <n v="496633"/>
    <n v="496633"/>
    <n v="0"/>
    <n v="0"/>
    <n v="0"/>
    <n v="0"/>
    <n v="4966.33"/>
    <n v="11667"/>
    <n v="491667"/>
    <n v="0"/>
    <s v="Soakoja"/>
    <n v="496633"/>
    <n v="74495"/>
    <x v="0"/>
    <x v="1"/>
    <x v="1"/>
    <x v="10"/>
  </r>
  <r>
    <x v="2"/>
    <s v="S03_2022_3"/>
    <x v="0"/>
    <s v="Maintenance"/>
    <x v="2"/>
    <s v="Tsilavina"/>
    <x v="1"/>
    <x v="46"/>
    <x v="32"/>
    <d v="2022-02-24T00:00:00"/>
    <n v="442000"/>
    <n v="451739"/>
    <n v="451739"/>
    <n v="0"/>
    <n v="0"/>
    <n v="0"/>
    <n v="0"/>
    <n v="4517.3900000000003"/>
    <n v="5222"/>
    <n v="447222"/>
    <n v="2000"/>
    <s v="Soakoja"/>
    <n v="451739"/>
    <n v="67761"/>
    <x v="0"/>
    <x v="2"/>
    <x v="1"/>
    <x v="10"/>
  </r>
  <r>
    <x v="4"/>
    <s v="S05_2022_3"/>
    <x v="0"/>
    <s v="Transversal"/>
    <x v="4"/>
    <s v="Florentin"/>
    <x v="3"/>
    <x v="46"/>
    <x v="32"/>
    <d v="2022-02-24T00:00:00"/>
    <n v="592000"/>
    <n v="625631"/>
    <n v="625631"/>
    <n v="0"/>
    <n v="0"/>
    <n v="0"/>
    <n v="0"/>
    <n v="6256.31"/>
    <n v="27375"/>
    <n v="619375"/>
    <n v="4000"/>
    <s v="Soakoja"/>
    <n v="625631"/>
    <n v="93845"/>
    <x v="1"/>
    <x v="0"/>
    <x v="1"/>
    <x v="10"/>
  </r>
  <r>
    <x v="5"/>
    <s v="S06_2022_3"/>
    <x v="1"/>
    <s v="Transversal"/>
    <x v="5"/>
    <s v="Michel"/>
    <x v="4"/>
    <x v="46"/>
    <x v="32"/>
    <d v="2022-02-24T00:00:00"/>
    <n v="590000"/>
    <n v="620581"/>
    <n v="620581"/>
    <n v="0"/>
    <n v="0"/>
    <n v="0"/>
    <n v="0"/>
    <n v="6205.81"/>
    <n v="24375"/>
    <n v="614375"/>
    <n v="6000"/>
    <s v="Soakoja"/>
    <n v="620581"/>
    <n v="93087"/>
    <x v="1"/>
    <x v="1"/>
    <x v="2"/>
    <x v="10"/>
  </r>
  <r>
    <x v="7"/>
    <s v="S08_2022_3"/>
    <x v="0"/>
    <s v="Transversal"/>
    <x v="7"/>
    <s v="Onja"/>
    <x v="6"/>
    <x v="46"/>
    <x v="32"/>
    <d v="2022-02-24T00:00:00"/>
    <n v="890000"/>
    <n v="1006944"/>
    <n v="1006944"/>
    <n v="0"/>
    <n v="0"/>
    <n v="0"/>
    <n v="0"/>
    <n v="10069.44"/>
    <n v="106875"/>
    <n v="996875"/>
    <n v="0"/>
    <s v="Fanainga"/>
    <n v="1006944"/>
    <n v="151042"/>
    <x v="2"/>
    <x v="0"/>
    <x v="0"/>
    <x v="10"/>
  </r>
  <r>
    <x v="8"/>
    <s v="S09_2022_3"/>
    <x v="2"/>
    <s v="Maintenance"/>
    <x v="8"/>
    <s v="Rinon"/>
    <x v="1"/>
    <x v="46"/>
    <x v="32"/>
    <d v="2022-02-24T00:00:00"/>
    <n v="450000"/>
    <n v="458474"/>
    <n v="458474"/>
    <n v="0"/>
    <n v="0"/>
    <n v="0"/>
    <n v="0"/>
    <n v="4584.74"/>
    <n v="3889"/>
    <n v="453889"/>
    <n v="4000"/>
    <s v="Fanainga"/>
    <n v="458474"/>
    <n v="68771"/>
    <x v="1"/>
    <x v="1"/>
    <x v="1"/>
    <x v="10"/>
  </r>
  <r>
    <x v="9"/>
    <s v="S10_2022_3"/>
    <x v="2"/>
    <s v="Maintenance"/>
    <x v="9"/>
    <s v="Alain"/>
    <x v="7"/>
    <x v="46"/>
    <x v="32"/>
    <d v="2022-02-24T00:00:00"/>
    <n v="440000"/>
    <n v="449495"/>
    <n v="449495"/>
    <n v="0"/>
    <n v="0"/>
    <n v="0"/>
    <n v="0"/>
    <n v="4494.95"/>
    <n v="5000"/>
    <n v="445000"/>
    <n v="2000"/>
    <s v="Fanainga"/>
    <n v="449495"/>
    <n v="67424"/>
    <x v="1"/>
    <x v="0"/>
    <x v="3"/>
    <x v="10"/>
  </r>
  <r>
    <x v="10"/>
    <s v="S11_2022_3"/>
    <x v="0"/>
    <s v="Transversal"/>
    <x v="10"/>
    <s v="Raoul"/>
    <x v="8"/>
    <x v="46"/>
    <x v="32"/>
    <d v="2022-03-24T00:00:00"/>
    <n v="450000"/>
    <n v="332845"/>
    <n v="457582"/>
    <n v="24929"/>
    <n v="18994"/>
    <n v="0"/>
    <n v="59"/>
    <n v="4575.82"/>
    <n v="3000"/>
    <n v="453006"/>
    <n v="6000"/>
    <s v="Soakoja"/>
    <n v="457582"/>
    <n v="68637"/>
    <x v="1"/>
    <x v="0"/>
    <x v="4"/>
    <x v="10"/>
  </r>
  <r>
    <x v="11"/>
    <s v="S12_2022_3"/>
    <x v="0"/>
    <s v="Transversal"/>
    <x v="11"/>
    <s v="Benedictine"/>
    <x v="9"/>
    <x v="46"/>
    <x v="32"/>
    <d v="2022-02-24T00:00:00"/>
    <n v="95000"/>
    <n v="98990"/>
    <n v="98990"/>
    <n v="0"/>
    <n v="0"/>
    <n v="0"/>
    <n v="0"/>
    <n v="989.9"/>
    <n v="3000"/>
    <n v="98000"/>
    <n v="6000"/>
    <s v="Soakoja"/>
    <n v="98990"/>
    <n v="14849"/>
    <x v="1"/>
    <x v="0"/>
    <x v="5"/>
    <x v="10"/>
  </r>
  <r>
    <x v="12"/>
    <s v="S13_2022_3"/>
    <x v="1"/>
    <s v="Transversal"/>
    <x v="12"/>
    <s v="Herizo"/>
    <x v="10"/>
    <x v="46"/>
    <x v="32"/>
    <d v="2022-01-26T00:00:00"/>
    <n v="2146500"/>
    <n v="2578500"/>
    <n v="2578500"/>
    <n v="0"/>
    <n v="0"/>
    <n v="0"/>
    <n v="0"/>
    <n v="16000"/>
    <n v="416000"/>
    <n v="2562500"/>
    <n v="4000"/>
    <s v="Soakoja"/>
    <n v="1904000"/>
    <n v="240000"/>
    <x v="1"/>
    <x v="0"/>
    <x v="0"/>
    <x v="10"/>
  </r>
  <r>
    <x v="13"/>
    <s v="S14_2022_3"/>
    <x v="0"/>
    <s v="Transversal"/>
    <x v="13"/>
    <s v="Rene"/>
    <x v="8"/>
    <x v="46"/>
    <x v="32"/>
    <d v="2022-03-24T00:00:00"/>
    <n v="424200"/>
    <n v="332845"/>
    <n v="431558"/>
    <n v="24929"/>
    <n v="18994"/>
    <n v="1"/>
    <n v="35"/>
    <n v="4315.58"/>
    <n v="3000"/>
    <n v="427242"/>
    <n v="6000"/>
    <s v="Soakoja"/>
    <n v="431558"/>
    <n v="64734"/>
    <x v="1"/>
    <x v="0"/>
    <x v="4"/>
    <x v="10"/>
  </r>
  <r>
    <x v="14"/>
    <s v="S15_2022_3"/>
    <x v="2"/>
    <s v="Transversal"/>
    <x v="14"/>
    <s v="Chrisos"/>
    <x v="11"/>
    <x v="46"/>
    <x v="32"/>
    <d v="2022-02-24T00:00:00"/>
    <n v="1175000"/>
    <n v="1366793"/>
    <n v="1366793"/>
    <n v="0"/>
    <n v="0"/>
    <n v="0"/>
    <n v="0"/>
    <n v="13667.93"/>
    <n v="178125"/>
    <n v="1353125"/>
    <n v="0"/>
    <s v="Fanainga"/>
    <n v="1366793"/>
    <n v="205019"/>
    <x v="1"/>
    <x v="5"/>
    <x v="0"/>
    <x v="10"/>
  </r>
  <r>
    <x v="15"/>
    <s v="S16_2022_3"/>
    <x v="0"/>
    <s v="Maintenance"/>
    <x v="15"/>
    <s v="Victorien"/>
    <x v="7"/>
    <x v="46"/>
    <x v="32"/>
    <d v="2022-02-24T00:00:00"/>
    <n v="490000"/>
    <n v="505644"/>
    <n v="505644"/>
    <n v="0"/>
    <n v="0"/>
    <n v="0"/>
    <n v="0"/>
    <n v="5056.4399999999996"/>
    <n v="10588"/>
    <n v="500588"/>
    <n v="2000"/>
    <s v="Soakoja"/>
    <n v="505644"/>
    <n v="75847"/>
    <x v="1"/>
    <x v="0"/>
    <x v="3"/>
    <x v="10"/>
  </r>
  <r>
    <x v="16"/>
    <s v="S17_2022_3"/>
    <x v="0"/>
    <s v="Transversal"/>
    <x v="16"/>
    <s v="Velonasy"/>
    <x v="8"/>
    <x v="46"/>
    <x v="32"/>
    <d v="2022-02-24T00:00:00"/>
    <n v="370000"/>
    <n v="332845"/>
    <n v="376768"/>
    <n v="24929"/>
    <n v="18994"/>
    <n v="0"/>
    <n v="0"/>
    <n v="3767.68"/>
    <n v="3000"/>
    <n v="373000"/>
    <n v="6000"/>
    <s v="Soakoja"/>
    <n v="376768"/>
    <n v="56515"/>
    <x v="1"/>
    <x v="0"/>
    <x v="4"/>
    <x v="10"/>
  </r>
  <r>
    <x v="18"/>
    <s v="S19_2022_3"/>
    <x v="0"/>
    <s v="Maintenance"/>
    <x v="18"/>
    <s v="Faly"/>
    <x v="7"/>
    <x v="46"/>
    <x v="32"/>
    <d v="2022-02-24T00:00:00"/>
    <n v="702000"/>
    <n v="767045"/>
    <n v="767045"/>
    <n v="0"/>
    <n v="0"/>
    <n v="0"/>
    <n v="0"/>
    <n v="7670.45"/>
    <n v="57375"/>
    <n v="759375"/>
    <n v="2000"/>
    <s v="Fanainga"/>
    <n v="767045"/>
    <n v="115057"/>
    <x v="4"/>
    <x v="0"/>
    <x v="3"/>
    <x v="10"/>
  </r>
  <r>
    <x v="19"/>
    <s v="S20_2022_3"/>
    <x v="3"/>
    <s v="Maintenance"/>
    <x v="19"/>
    <s v="Manitrasina"/>
    <x v="1"/>
    <x v="46"/>
    <x v="32"/>
    <d v="2022-02-24T00:00:00"/>
    <n v="6682"/>
    <n v="9780"/>
    <n v="9780"/>
    <n v="0"/>
    <n v="0"/>
    <n v="0"/>
    <n v="0"/>
    <n v="97.8"/>
    <n v="3000"/>
    <n v="9682"/>
    <n v="0"/>
    <s v="Soakoja"/>
    <n v="9780"/>
    <n v="1467"/>
    <x v="5"/>
    <x v="0"/>
    <x v="1"/>
    <x v="10"/>
  </r>
  <r>
    <x v="23"/>
    <s v="S24_2022_3"/>
    <x v="2"/>
    <s v="Transversal"/>
    <x v="23"/>
    <s v="Christophe"/>
    <x v="14"/>
    <x v="46"/>
    <x v="32"/>
    <d v="2022-02-24T00:00:00"/>
    <n v="570000"/>
    <n v="603090"/>
    <n v="603090"/>
    <n v="0"/>
    <n v="0"/>
    <n v="0"/>
    <n v="0"/>
    <n v="6030.9"/>
    <n v="27059"/>
    <n v="597059"/>
    <n v="0"/>
    <s v="Fanainga"/>
    <n v="603090"/>
    <n v="90464"/>
    <x v="8"/>
    <x v="0"/>
    <x v="3"/>
    <x v="10"/>
  </r>
  <r>
    <x v="24"/>
    <s v="S25_2022_3"/>
    <x v="2"/>
    <s v="Maintenance"/>
    <x v="24"/>
    <s v="Doris"/>
    <x v="1"/>
    <x v="46"/>
    <x v="32"/>
    <d v="2022-02-24T00:00:00"/>
    <n v="527000"/>
    <n v="547237"/>
    <n v="547237"/>
    <n v="0"/>
    <n v="0"/>
    <n v="0"/>
    <n v="0"/>
    <n v="5472.37"/>
    <n v="14765"/>
    <n v="541765"/>
    <n v="4000"/>
    <s v="Fanainga"/>
    <n v="547237"/>
    <n v="82086"/>
    <x v="8"/>
    <x v="1"/>
    <x v="1"/>
    <x v="10"/>
  </r>
  <r>
    <x v="25"/>
    <s v="S26_2022_3"/>
    <x v="0"/>
    <s v="Construction"/>
    <x v="25"/>
    <s v="Anicet"/>
    <x v="5"/>
    <x v="46"/>
    <x v="32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0"/>
  </r>
  <r>
    <x v="27"/>
    <s v="S28_2022_3"/>
    <x v="2"/>
    <s v="Construction"/>
    <x v="27"/>
    <s v="Rodin"/>
    <x v="1"/>
    <x v="46"/>
    <x v="32"/>
    <d v="2022-02-24T00:00:00"/>
    <n v="400000"/>
    <n v="407071"/>
    <n v="407071"/>
    <n v="0"/>
    <n v="0"/>
    <n v="0"/>
    <n v="0"/>
    <n v="4070.71"/>
    <n v="3000"/>
    <n v="403000"/>
    <n v="0"/>
    <s v="Fanainga"/>
    <n v="407071"/>
    <n v="61061"/>
    <x v="8"/>
    <x v="0"/>
    <x v="1"/>
    <x v="10"/>
  </r>
  <r>
    <x v="29"/>
    <s v="S30_2022_3"/>
    <x v="2"/>
    <s v="Transversal"/>
    <x v="29"/>
    <s v="Marie Jeanne"/>
    <x v="9"/>
    <x v="46"/>
    <x v="32"/>
    <d v="2022-02-24T00:00:00"/>
    <n v="105000"/>
    <n v="109091"/>
    <n v="109091"/>
    <n v="0"/>
    <n v="0"/>
    <n v="0"/>
    <n v="0"/>
    <n v="1090.9100000000001"/>
    <n v="3000"/>
    <n v="108000"/>
    <n v="6000"/>
    <s v="Soakoja"/>
    <n v="109091"/>
    <n v="16364"/>
    <x v="8"/>
    <x v="0"/>
    <x v="5"/>
    <x v="10"/>
  </r>
  <r>
    <x v="31"/>
    <s v="S32_2022_3"/>
    <x v="0"/>
    <s v="Maintenance"/>
    <x v="31"/>
    <s v="Francot"/>
    <x v="1"/>
    <x v="46"/>
    <x v="32"/>
    <d v="2022-02-24T00:00:00"/>
    <n v="360000"/>
    <n v="366667"/>
    <n v="366667"/>
    <n v="0"/>
    <n v="0"/>
    <n v="0"/>
    <n v="0"/>
    <n v="3666.67"/>
    <n v="3000"/>
    <n v="363000"/>
    <n v="2000"/>
    <s v="Soakoja"/>
    <n v="366667"/>
    <n v="55000"/>
    <x v="10"/>
    <x v="12"/>
    <x v="1"/>
    <x v="10"/>
  </r>
  <r>
    <x v="32"/>
    <s v="S33_2022_3"/>
    <x v="0"/>
    <s v="Maintenance"/>
    <x v="32"/>
    <s v="Perolin"/>
    <x v="1"/>
    <x v="46"/>
    <x v="32"/>
    <d v="2022-02-24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11"/>
    <x v="0"/>
    <x v="1"/>
    <x v="10"/>
  </r>
  <r>
    <x v="30"/>
    <s v="S31_2022_3"/>
    <x v="2"/>
    <s v="Maintenance"/>
    <x v="30"/>
    <s v="Fabiolain"/>
    <x v="1"/>
    <x v="46"/>
    <x v="32"/>
    <d v="2022-03-24T00:00:00"/>
    <e v="#REF!"/>
    <n v="12800"/>
    <e v="#REF!"/>
    <n v="0"/>
    <n v="0"/>
    <n v="0"/>
    <n v="0"/>
    <e v="#REF!"/>
    <e v="#REF!"/>
    <e v="#REF!"/>
    <n v="2000"/>
    <s v="Soakoja"/>
    <e v="#REF!"/>
    <e v="#REF!"/>
    <x v="9"/>
    <x v="11"/>
    <x v="1"/>
    <x v="10"/>
  </r>
  <r>
    <x v="33"/>
    <s v="S34_2022_3"/>
    <x v="1"/>
    <s v="Transversal"/>
    <x v="33"/>
    <s v="Valérie"/>
    <x v="16"/>
    <x v="46"/>
    <x v="32"/>
    <d v="2022-02-24T00:00:00"/>
    <n v="720000"/>
    <n v="784722"/>
    <n v="784722"/>
    <n v="0"/>
    <n v="0"/>
    <n v="0"/>
    <n v="0"/>
    <n v="7847.22"/>
    <n v="56875"/>
    <n v="776875"/>
    <n v="6000"/>
    <s v="Fanainga"/>
    <n v="784722"/>
    <n v="117708"/>
    <x v="12"/>
    <x v="0"/>
    <x v="0"/>
    <x v="10"/>
  </r>
  <r>
    <x v="35"/>
    <s v="S36_2022_3"/>
    <x v="2"/>
    <s v="Transversal"/>
    <x v="35"/>
    <s v="Judicaël"/>
    <x v="3"/>
    <x v="46"/>
    <x v="32"/>
    <d v="2022-03-24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0"/>
  </r>
  <r>
    <x v="37"/>
    <s v="S38_2022_3"/>
    <x v="2"/>
    <s v="Maintenance"/>
    <x v="37"/>
    <s v="Christian"/>
    <x v="7"/>
    <x v="46"/>
    <x v="32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0"/>
  </r>
  <r>
    <x v="38"/>
    <s v="S39_2022_3"/>
    <x v="3"/>
    <s v="Maintenance"/>
    <x v="38"/>
    <s v="Lydie"/>
    <x v="19"/>
    <x v="46"/>
    <x v="32"/>
    <d v="2022-01-26T00:00:00"/>
    <n v="772500"/>
    <n v="858586"/>
    <n v="858586"/>
    <n v="0"/>
    <n v="0"/>
    <n v="0"/>
    <n v="0"/>
    <n v="8585.86"/>
    <n v="77500"/>
    <n v="850000"/>
    <n v="0"/>
    <s v="Soakoja"/>
    <n v="858586"/>
    <n v="128788"/>
    <x v="17"/>
    <x v="0"/>
    <x v="3"/>
    <x v="10"/>
  </r>
  <r>
    <x v="39"/>
    <s v="S40_2022_3"/>
    <x v="3"/>
    <s v="Maintenance"/>
    <x v="39"/>
    <s v="Nalaina"/>
    <x v="20"/>
    <x v="46"/>
    <x v="32"/>
    <d v="2022-01-26T00:00:00"/>
    <n v="774500"/>
    <n v="858586"/>
    <n v="858586"/>
    <n v="0"/>
    <n v="0"/>
    <n v="0"/>
    <n v="0"/>
    <n v="8585.86"/>
    <n v="75500"/>
    <n v="850000"/>
    <n v="2000"/>
    <s v="Soakoja"/>
    <n v="858586"/>
    <n v="128788"/>
    <x v="17"/>
    <x v="16"/>
    <x v="3"/>
    <x v="10"/>
  </r>
  <r>
    <x v="40"/>
    <s v="S41_2022_3"/>
    <x v="2"/>
    <s v="Transversal"/>
    <x v="40"/>
    <s v="Mimix"/>
    <x v="21"/>
    <x v="46"/>
    <x v="32"/>
    <d v="2022-03-24T00:00:00"/>
    <n v="550000"/>
    <n v="579323"/>
    <n v="579323"/>
    <n v="0"/>
    <n v="0"/>
    <n v="0"/>
    <n v="0"/>
    <n v="5793.23"/>
    <n v="23530"/>
    <n v="573530"/>
    <n v="0"/>
    <s v="Soakoja"/>
    <n v="579323"/>
    <n v="86898"/>
    <x v="18"/>
    <x v="17"/>
    <x v="3"/>
    <x v="10"/>
  </r>
  <r>
    <x v="0"/>
    <s v="S01_2022_4"/>
    <x v="0"/>
    <s v="Maintenance"/>
    <x v="0"/>
    <s v="Gaetan"/>
    <x v="0"/>
    <x v="47"/>
    <x v="33"/>
    <d v="2022-02-24T00:00:00"/>
    <n v="1100000"/>
    <n v="1264520"/>
    <n v="1264520"/>
    <n v="0"/>
    <n v="0"/>
    <n v="0"/>
    <n v="0"/>
    <n v="12645.2"/>
    <n v="151875"/>
    <n v="1251875"/>
    <n v="6000"/>
    <s v="Fanainga"/>
    <n v="1264520"/>
    <n v="189678"/>
    <x v="0"/>
    <x v="0"/>
    <x v="0"/>
    <x v="11"/>
  </r>
  <r>
    <x v="1"/>
    <s v="S02_2022_4"/>
    <x v="0"/>
    <s v="Maintenance"/>
    <x v="1"/>
    <s v="Luo"/>
    <x v="1"/>
    <x v="47"/>
    <x v="33"/>
    <d v="2022-02-24T00:00:00"/>
    <n v="480000"/>
    <n v="496633"/>
    <n v="496633"/>
    <n v="0"/>
    <n v="0"/>
    <n v="0"/>
    <n v="0"/>
    <n v="4966.33"/>
    <n v="11667"/>
    <n v="491667"/>
    <n v="0"/>
    <s v="Soakoja"/>
    <n v="496633"/>
    <n v="74495"/>
    <x v="0"/>
    <x v="1"/>
    <x v="1"/>
    <x v="11"/>
  </r>
  <r>
    <x v="2"/>
    <s v="S03_2022_4"/>
    <x v="0"/>
    <s v="Maintenance"/>
    <x v="2"/>
    <s v="Tsilavina"/>
    <x v="1"/>
    <x v="47"/>
    <x v="33"/>
    <d v="2022-02-24T00:00:00"/>
    <n v="442000"/>
    <n v="451739"/>
    <n v="451739"/>
    <n v="0"/>
    <n v="0"/>
    <n v="0"/>
    <n v="0"/>
    <n v="4517.3900000000003"/>
    <n v="5222"/>
    <n v="447222"/>
    <n v="2000"/>
    <s v="Soakoja"/>
    <n v="451739"/>
    <n v="67761"/>
    <x v="0"/>
    <x v="2"/>
    <x v="1"/>
    <x v="11"/>
  </r>
  <r>
    <x v="4"/>
    <s v="S05_2022_4"/>
    <x v="0"/>
    <s v="Transversal"/>
    <x v="4"/>
    <s v="Florentin"/>
    <x v="3"/>
    <x v="47"/>
    <x v="33"/>
    <d v="2022-02-24T00:00:00"/>
    <n v="592000"/>
    <n v="625631"/>
    <n v="625631"/>
    <n v="0"/>
    <n v="0"/>
    <n v="0"/>
    <n v="0"/>
    <n v="6256.31"/>
    <n v="27375"/>
    <n v="619375"/>
    <n v="4000"/>
    <s v="Soakoja"/>
    <n v="625631"/>
    <n v="93845"/>
    <x v="1"/>
    <x v="0"/>
    <x v="1"/>
    <x v="11"/>
  </r>
  <r>
    <x v="5"/>
    <s v="S06_2022_4"/>
    <x v="1"/>
    <s v="Transversal"/>
    <x v="5"/>
    <s v="Michel"/>
    <x v="4"/>
    <x v="47"/>
    <x v="33"/>
    <d v="2022-02-24T00:00:00"/>
    <n v="590000"/>
    <n v="620581"/>
    <n v="620581"/>
    <n v="0"/>
    <n v="0"/>
    <n v="0"/>
    <n v="0"/>
    <n v="6205.81"/>
    <n v="24375"/>
    <n v="614375"/>
    <n v="6000"/>
    <s v="Soakoja"/>
    <n v="620581"/>
    <n v="93087"/>
    <x v="1"/>
    <x v="1"/>
    <x v="2"/>
    <x v="11"/>
  </r>
  <r>
    <x v="7"/>
    <s v="S08_2022_4"/>
    <x v="0"/>
    <s v="Transversal"/>
    <x v="7"/>
    <s v="Onja"/>
    <x v="6"/>
    <x v="47"/>
    <x v="33"/>
    <d v="2022-02-24T00:00:00"/>
    <n v="890000"/>
    <n v="1006944"/>
    <n v="1006944"/>
    <n v="0"/>
    <n v="0"/>
    <n v="0"/>
    <n v="0"/>
    <n v="10069.44"/>
    <n v="106875"/>
    <n v="996875"/>
    <n v="0"/>
    <s v="Fanainga"/>
    <n v="1006944"/>
    <n v="151042"/>
    <x v="2"/>
    <x v="0"/>
    <x v="0"/>
    <x v="11"/>
  </r>
  <r>
    <x v="8"/>
    <s v="S09_2022_4"/>
    <x v="2"/>
    <s v="Maintenance"/>
    <x v="8"/>
    <s v="Rinon"/>
    <x v="1"/>
    <x v="47"/>
    <x v="33"/>
    <d v="2022-02-24T00:00:00"/>
    <n v="450000"/>
    <n v="458474"/>
    <n v="458474"/>
    <n v="0"/>
    <n v="0"/>
    <n v="0"/>
    <n v="0"/>
    <n v="4584.74"/>
    <n v="3889"/>
    <n v="453889"/>
    <n v="4000"/>
    <s v="Fanainga"/>
    <n v="458474"/>
    <n v="68771"/>
    <x v="1"/>
    <x v="1"/>
    <x v="1"/>
    <x v="11"/>
  </r>
  <r>
    <x v="9"/>
    <s v="S10_2022_4"/>
    <x v="2"/>
    <s v="Maintenance"/>
    <x v="9"/>
    <s v="Alain"/>
    <x v="7"/>
    <x v="47"/>
    <x v="33"/>
    <d v="2022-02-24T00:00:00"/>
    <n v="440000"/>
    <n v="449495"/>
    <n v="449495"/>
    <n v="0"/>
    <n v="0"/>
    <n v="0"/>
    <n v="0"/>
    <n v="4494.95"/>
    <n v="5000"/>
    <n v="445000"/>
    <n v="2000"/>
    <s v="Fanainga"/>
    <n v="449495"/>
    <n v="67424"/>
    <x v="1"/>
    <x v="0"/>
    <x v="3"/>
    <x v="11"/>
  </r>
  <r>
    <x v="10"/>
    <s v="S11_2022_4"/>
    <x v="0"/>
    <s v="Transversal"/>
    <x v="10"/>
    <s v="Raoul"/>
    <x v="8"/>
    <x v="47"/>
    <x v="33"/>
    <d v="2022-04-27T00:00:00"/>
    <n v="424200"/>
    <n v="332845"/>
    <n v="431558"/>
    <n v="24929"/>
    <n v="18994"/>
    <n v="1"/>
    <n v="35"/>
    <n v="4315.58"/>
    <n v="3000"/>
    <n v="427242"/>
    <n v="6000"/>
    <s v="Soakoja"/>
    <n v="431558"/>
    <n v="64734"/>
    <x v="1"/>
    <x v="0"/>
    <x v="4"/>
    <x v="11"/>
  </r>
  <r>
    <x v="11"/>
    <s v="S12_2022_4"/>
    <x v="0"/>
    <s v="Transversal"/>
    <x v="11"/>
    <s v="Benedictine"/>
    <x v="9"/>
    <x v="47"/>
    <x v="33"/>
    <d v="2022-02-24T00:00:00"/>
    <n v="95000"/>
    <n v="98990"/>
    <n v="98990"/>
    <n v="0"/>
    <n v="0"/>
    <n v="0"/>
    <n v="0"/>
    <n v="989.9"/>
    <n v="3000"/>
    <n v="98000"/>
    <n v="6000"/>
    <s v="Soakoja"/>
    <n v="98990"/>
    <n v="14849"/>
    <x v="1"/>
    <x v="0"/>
    <x v="5"/>
    <x v="11"/>
  </r>
  <r>
    <x v="12"/>
    <s v="S13_2022_4"/>
    <x v="1"/>
    <s v="Transversal"/>
    <x v="12"/>
    <s v="Herizo"/>
    <x v="10"/>
    <x v="47"/>
    <x v="33"/>
    <d v="2022-01-26T00:00:00"/>
    <n v="2146500"/>
    <n v="2578500"/>
    <n v="2578500"/>
    <n v="0"/>
    <n v="0"/>
    <n v="0"/>
    <n v="0"/>
    <n v="16000"/>
    <n v="416000"/>
    <n v="2562500"/>
    <n v="4000"/>
    <s v="Soakoja"/>
    <n v="1904000"/>
    <n v="240000"/>
    <x v="1"/>
    <x v="0"/>
    <x v="0"/>
    <x v="11"/>
  </r>
  <r>
    <x v="13"/>
    <s v="S14_2022_4"/>
    <x v="0"/>
    <s v="Transversal"/>
    <x v="13"/>
    <s v="Rene"/>
    <x v="8"/>
    <x v="47"/>
    <x v="33"/>
    <d v="2022-04-27T00:00:00"/>
    <n v="370000"/>
    <n v="332845"/>
    <n v="376768"/>
    <n v="24929"/>
    <n v="18994"/>
    <n v="0"/>
    <n v="0"/>
    <n v="3767.68"/>
    <n v="3000"/>
    <n v="373000"/>
    <n v="6000"/>
    <s v="Soakoja"/>
    <n v="376768"/>
    <n v="56515"/>
    <x v="1"/>
    <x v="0"/>
    <x v="4"/>
    <x v="11"/>
  </r>
  <r>
    <x v="14"/>
    <s v="S15_2022_4"/>
    <x v="2"/>
    <s v="Transversal"/>
    <x v="14"/>
    <s v="Chrisos"/>
    <x v="11"/>
    <x v="47"/>
    <x v="33"/>
    <d v="2022-02-24T00:00:00"/>
    <n v="1175000"/>
    <n v="1366793"/>
    <n v="1366793"/>
    <n v="0"/>
    <n v="0"/>
    <n v="0"/>
    <n v="0"/>
    <n v="13667.93"/>
    <n v="178125"/>
    <n v="1353125"/>
    <n v="0"/>
    <s v="Fanainga"/>
    <n v="1366793"/>
    <n v="205019"/>
    <x v="1"/>
    <x v="5"/>
    <x v="0"/>
    <x v="11"/>
  </r>
  <r>
    <x v="15"/>
    <s v="S16_2022_4"/>
    <x v="0"/>
    <s v="Maintenance"/>
    <x v="15"/>
    <s v="Victorien"/>
    <x v="7"/>
    <x v="47"/>
    <x v="33"/>
    <d v="2022-02-24T00:00:00"/>
    <n v="490000"/>
    <n v="505644"/>
    <n v="505644"/>
    <n v="0"/>
    <n v="0"/>
    <n v="0"/>
    <n v="0"/>
    <n v="5056.4399999999996"/>
    <n v="10588"/>
    <n v="500588"/>
    <n v="2000"/>
    <s v="Soakoja"/>
    <n v="505644"/>
    <n v="75847"/>
    <x v="1"/>
    <x v="0"/>
    <x v="3"/>
    <x v="11"/>
  </r>
  <r>
    <x v="16"/>
    <s v="S17_2022_4"/>
    <x v="0"/>
    <s v="Transversal"/>
    <x v="16"/>
    <s v="Velonasy"/>
    <x v="8"/>
    <x v="47"/>
    <x v="33"/>
    <d v="2022-04-27T00:00:00"/>
    <n v="443200"/>
    <n v="332845"/>
    <n v="450734"/>
    <n v="24929"/>
    <n v="18994"/>
    <n v="1"/>
    <n v="49"/>
    <n v="4507.34"/>
    <n v="3000"/>
    <n v="446227"/>
    <n v="6000"/>
    <s v="Soakoja"/>
    <n v="450734"/>
    <n v="67610"/>
    <x v="1"/>
    <x v="0"/>
    <x v="4"/>
    <x v="11"/>
  </r>
  <r>
    <x v="18"/>
    <s v="S19_2022_4"/>
    <x v="0"/>
    <s v="Maintenance"/>
    <x v="18"/>
    <s v="Faly"/>
    <x v="7"/>
    <x v="47"/>
    <x v="33"/>
    <d v="2022-02-24T00:00:00"/>
    <n v="702000"/>
    <n v="767045"/>
    <n v="767045"/>
    <n v="0"/>
    <n v="0"/>
    <n v="0"/>
    <n v="0"/>
    <n v="7670.45"/>
    <n v="57375"/>
    <n v="759375"/>
    <n v="2000"/>
    <s v="Fanainga"/>
    <n v="767045"/>
    <n v="115057"/>
    <x v="4"/>
    <x v="0"/>
    <x v="3"/>
    <x v="11"/>
  </r>
  <r>
    <x v="19"/>
    <s v="S20_2022_4"/>
    <x v="3"/>
    <s v="Maintenance"/>
    <x v="19"/>
    <s v="Manitrasina"/>
    <x v="1"/>
    <x v="47"/>
    <x v="33"/>
    <d v="2022-04-27T00:00:00"/>
    <n v="12300"/>
    <n v="15404"/>
    <n v="15404"/>
    <n v="0"/>
    <n v="0"/>
    <n v="0"/>
    <n v="0"/>
    <n v="154.04"/>
    <n v="3000"/>
    <n v="15250"/>
    <n v="2000"/>
    <s v="Soakoja"/>
    <n v="15404"/>
    <n v="2311"/>
    <x v="5"/>
    <x v="0"/>
    <x v="1"/>
    <x v="11"/>
  </r>
  <r>
    <x v="23"/>
    <s v="S24_2022_4"/>
    <x v="2"/>
    <s v="Transversal"/>
    <x v="23"/>
    <s v="Christophe"/>
    <x v="14"/>
    <x v="47"/>
    <x v="33"/>
    <d v="2022-02-24T00:00:00"/>
    <n v="570000"/>
    <n v="603090"/>
    <n v="603090"/>
    <n v="0"/>
    <n v="0"/>
    <n v="0"/>
    <n v="0"/>
    <n v="6030.9"/>
    <n v="27059"/>
    <n v="597059"/>
    <n v="0"/>
    <s v="Fanainga"/>
    <n v="603090"/>
    <n v="90464"/>
    <x v="8"/>
    <x v="0"/>
    <x v="3"/>
    <x v="11"/>
  </r>
  <r>
    <x v="24"/>
    <s v="S25_2022_4"/>
    <x v="2"/>
    <s v="Maintenance"/>
    <x v="24"/>
    <s v="Doris"/>
    <x v="1"/>
    <x v="47"/>
    <x v="33"/>
    <d v="2022-02-24T00:00:00"/>
    <n v="527000"/>
    <n v="547237"/>
    <n v="547237"/>
    <n v="0"/>
    <n v="0"/>
    <n v="0"/>
    <n v="0"/>
    <n v="5472.37"/>
    <n v="14765"/>
    <n v="541765"/>
    <n v="4000"/>
    <s v="Fanainga"/>
    <n v="547237"/>
    <n v="82086"/>
    <x v="8"/>
    <x v="1"/>
    <x v="1"/>
    <x v="11"/>
  </r>
  <r>
    <x v="25"/>
    <s v="S26_2022_4"/>
    <x v="0"/>
    <s v="Construction"/>
    <x v="25"/>
    <s v="Anicet"/>
    <x v="5"/>
    <x v="47"/>
    <x v="33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1"/>
  </r>
  <r>
    <x v="27"/>
    <s v="S28_2022_4"/>
    <x v="2"/>
    <s v="Construction"/>
    <x v="27"/>
    <s v="Rodin"/>
    <x v="1"/>
    <x v="47"/>
    <x v="33"/>
    <d v="2022-02-24T00:00:00"/>
    <n v="400000"/>
    <n v="407071"/>
    <n v="407071"/>
    <n v="0"/>
    <n v="0"/>
    <n v="0"/>
    <n v="0"/>
    <n v="4070.71"/>
    <n v="3000"/>
    <n v="403000"/>
    <n v="0"/>
    <s v="Fanainga"/>
    <n v="407071"/>
    <n v="61061"/>
    <x v="8"/>
    <x v="0"/>
    <x v="1"/>
    <x v="11"/>
  </r>
  <r>
    <x v="29"/>
    <s v="S30_2022_4"/>
    <x v="2"/>
    <s v="Transversal"/>
    <x v="29"/>
    <s v="Marie Jeanne"/>
    <x v="9"/>
    <x v="47"/>
    <x v="33"/>
    <d v="2022-02-24T00:00:00"/>
    <n v="105000"/>
    <n v="109091"/>
    <n v="109091"/>
    <n v="0"/>
    <n v="0"/>
    <n v="0"/>
    <n v="0"/>
    <n v="1090.9100000000001"/>
    <n v="3000"/>
    <n v="108000"/>
    <n v="6000"/>
    <s v="Soakoja"/>
    <n v="109091"/>
    <n v="16364"/>
    <x v="8"/>
    <x v="0"/>
    <x v="5"/>
    <x v="11"/>
  </r>
  <r>
    <x v="31"/>
    <s v="S32_2022_4"/>
    <x v="0"/>
    <s v="Maintenance"/>
    <x v="31"/>
    <s v="Francot"/>
    <x v="1"/>
    <x v="47"/>
    <x v="33"/>
    <d v="2022-02-24T00:00:00"/>
    <n v="360000"/>
    <n v="366667"/>
    <n v="366667"/>
    <n v="0"/>
    <n v="0"/>
    <n v="0"/>
    <n v="0"/>
    <n v="3666.67"/>
    <n v="3000"/>
    <n v="363000"/>
    <n v="2000"/>
    <s v="Soakoja"/>
    <n v="366667"/>
    <n v="55000"/>
    <x v="10"/>
    <x v="12"/>
    <x v="1"/>
    <x v="11"/>
  </r>
  <r>
    <x v="32"/>
    <s v="S33_2022_4"/>
    <x v="0"/>
    <s v="Maintenance"/>
    <x v="32"/>
    <s v="Perolin"/>
    <x v="1"/>
    <x v="47"/>
    <x v="33"/>
    <d v="2022-02-24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11"/>
    <x v="0"/>
    <x v="1"/>
    <x v="11"/>
  </r>
  <r>
    <x v="30"/>
    <s v="S31_2022_4"/>
    <x v="2"/>
    <s v="Maintenance"/>
    <x v="30"/>
    <s v="Fabiolain"/>
    <x v="1"/>
    <x v="47"/>
    <x v="33"/>
    <d v="2022-04-27T00:00:00"/>
    <e v="#REF!"/>
    <n v="12800"/>
    <e v="#REF!"/>
    <n v="0"/>
    <n v="0"/>
    <n v="0"/>
    <n v="0"/>
    <e v="#REF!"/>
    <e v="#REF!"/>
    <e v="#REF!"/>
    <n v="2000"/>
    <s v="Soakoja"/>
    <e v="#REF!"/>
    <e v="#REF!"/>
    <x v="9"/>
    <x v="11"/>
    <x v="1"/>
    <x v="11"/>
  </r>
  <r>
    <x v="33"/>
    <s v="S34_2022_4"/>
    <x v="1"/>
    <s v="Transversal"/>
    <x v="33"/>
    <s v="Valérie"/>
    <x v="16"/>
    <x v="47"/>
    <x v="33"/>
    <d v="2022-02-24T00:00:00"/>
    <n v="720000"/>
    <n v="784722"/>
    <n v="784722"/>
    <n v="0"/>
    <n v="0"/>
    <n v="0"/>
    <n v="0"/>
    <n v="7847.22"/>
    <n v="56875"/>
    <n v="776875"/>
    <n v="6000"/>
    <s v="Fanainga"/>
    <n v="784722"/>
    <n v="117708"/>
    <x v="12"/>
    <x v="0"/>
    <x v="0"/>
    <x v="11"/>
  </r>
  <r>
    <x v="35"/>
    <s v="S36_2022_4"/>
    <x v="2"/>
    <s v="Transversal"/>
    <x v="35"/>
    <s v="Judicaël"/>
    <x v="3"/>
    <x v="47"/>
    <x v="33"/>
    <d v="2022-04-27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1"/>
  </r>
  <r>
    <x v="37"/>
    <s v="S38_2022_4"/>
    <x v="2"/>
    <s v="Maintenance"/>
    <x v="37"/>
    <s v="Christian"/>
    <x v="7"/>
    <x v="47"/>
    <x v="33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1"/>
  </r>
  <r>
    <x v="38"/>
    <s v="S39_2022_4"/>
    <x v="3"/>
    <s v="Maintenance"/>
    <x v="38"/>
    <s v="Lydie"/>
    <x v="19"/>
    <x v="47"/>
    <x v="33"/>
    <d v="2022-01-26T00:00:00"/>
    <n v="772500"/>
    <n v="858586"/>
    <n v="858586"/>
    <n v="0"/>
    <n v="0"/>
    <n v="0"/>
    <n v="0"/>
    <n v="8585.86"/>
    <n v="77500"/>
    <n v="850000"/>
    <n v="0"/>
    <s v="Soakoja"/>
    <n v="858586"/>
    <n v="128788"/>
    <x v="17"/>
    <x v="0"/>
    <x v="3"/>
    <x v="11"/>
  </r>
  <r>
    <x v="39"/>
    <s v="S40_2022_4"/>
    <x v="3"/>
    <s v="Maintenance"/>
    <x v="39"/>
    <s v="Nalaina"/>
    <x v="20"/>
    <x v="47"/>
    <x v="33"/>
    <d v="2022-01-26T00:00:00"/>
    <n v="774500"/>
    <n v="858586"/>
    <n v="858586"/>
    <n v="0"/>
    <n v="0"/>
    <n v="0"/>
    <n v="0"/>
    <n v="8585.86"/>
    <n v="75500"/>
    <n v="850000"/>
    <n v="2000"/>
    <s v="Soakoja"/>
    <n v="858586"/>
    <n v="128788"/>
    <x v="17"/>
    <x v="16"/>
    <x v="3"/>
    <x v="11"/>
  </r>
  <r>
    <x v="40"/>
    <s v="S41_2022_4"/>
    <x v="2"/>
    <s v="Transversal"/>
    <x v="40"/>
    <s v="Mimix"/>
    <x v="21"/>
    <x v="47"/>
    <x v="33"/>
    <d v="2022-03-24T00:00:00"/>
    <n v="550000"/>
    <n v="579323"/>
    <n v="579323"/>
    <n v="0"/>
    <n v="0"/>
    <n v="0"/>
    <n v="0"/>
    <n v="5793.23"/>
    <n v="23530"/>
    <n v="573530"/>
    <n v="0"/>
    <s v="Soakoja"/>
    <n v="579323"/>
    <n v="86898"/>
    <x v="18"/>
    <x v="17"/>
    <x v="3"/>
    <x v="11"/>
  </r>
  <r>
    <x v="41"/>
    <s v="S42_2022_4"/>
    <x v="3"/>
    <s v="Maintenance"/>
    <x v="41"/>
    <s v="Fifaliana"/>
    <x v="1"/>
    <x v="47"/>
    <x v="33"/>
    <d v="2022-04-27T00:00:00"/>
    <n v="9200"/>
    <n v="12373"/>
    <n v="12373"/>
    <n v="0"/>
    <n v="0"/>
    <n v="0"/>
    <n v="0"/>
    <n v="123.73"/>
    <n v="3000"/>
    <n v="12249"/>
    <n v="0"/>
    <s v="Soakoja"/>
    <n v="12373"/>
    <n v="1856"/>
    <x v="19"/>
    <x v="0"/>
    <x v="1"/>
    <x v="11"/>
  </r>
  <r>
    <x v="42"/>
    <s v="S43_2022_4"/>
    <x v="3"/>
    <s v="Maintenance"/>
    <x v="42"/>
    <s v="Hery"/>
    <x v="1"/>
    <x v="47"/>
    <x v="33"/>
    <d v="2022-04-27T00:00:00"/>
    <n v="9200"/>
    <n v="12373"/>
    <n v="12373"/>
    <n v="0"/>
    <n v="0"/>
    <n v="0"/>
    <n v="0"/>
    <n v="123.73"/>
    <n v="3000"/>
    <n v="12249"/>
    <n v="2000"/>
    <s v="Soakoja"/>
    <n v="12373"/>
    <n v="1856"/>
    <x v="19"/>
    <x v="0"/>
    <x v="1"/>
    <x v="11"/>
  </r>
  <r>
    <x v="0"/>
    <s v="S01_2022_5"/>
    <x v="0"/>
    <s v="Maintenance"/>
    <x v="0"/>
    <s v="Gaetan"/>
    <x v="0"/>
    <x v="48"/>
    <x v="34"/>
    <d v="2022-02-24T00:00:00"/>
    <n v="1100000"/>
    <n v="1264520"/>
    <n v="1264520"/>
    <n v="0"/>
    <n v="0"/>
    <n v="0"/>
    <n v="0"/>
    <n v="12645.2"/>
    <n v="151875"/>
    <n v="1251875"/>
    <n v="6000"/>
    <s v="Fanainga"/>
    <n v="1264520"/>
    <n v="189678"/>
    <x v="0"/>
    <x v="0"/>
    <x v="0"/>
    <x v="11"/>
  </r>
  <r>
    <x v="1"/>
    <s v="S02_2022_5"/>
    <x v="0"/>
    <s v="Maintenance"/>
    <x v="1"/>
    <s v="Luo"/>
    <x v="1"/>
    <x v="48"/>
    <x v="34"/>
    <d v="2022-02-24T00:00:00"/>
    <n v="480000"/>
    <n v="496633"/>
    <n v="496633"/>
    <n v="0"/>
    <n v="0"/>
    <n v="0"/>
    <n v="0"/>
    <n v="4966.33"/>
    <n v="11667"/>
    <n v="491667"/>
    <n v="0"/>
    <s v="Soakoja"/>
    <n v="496633"/>
    <n v="74495"/>
    <x v="0"/>
    <x v="1"/>
    <x v="1"/>
    <x v="11"/>
  </r>
  <r>
    <x v="2"/>
    <s v="S03_2022_5"/>
    <x v="0"/>
    <s v="Maintenance"/>
    <x v="2"/>
    <s v="Tsilavina"/>
    <x v="1"/>
    <x v="48"/>
    <x v="34"/>
    <d v="2022-02-24T00:00:00"/>
    <n v="442000"/>
    <n v="451739"/>
    <n v="451739"/>
    <n v="0"/>
    <n v="0"/>
    <n v="0"/>
    <n v="0"/>
    <n v="4517.3900000000003"/>
    <n v="5222"/>
    <n v="447222"/>
    <n v="2000"/>
    <s v="Soakoja"/>
    <n v="451739"/>
    <n v="67761"/>
    <x v="0"/>
    <x v="2"/>
    <x v="1"/>
    <x v="11"/>
  </r>
  <r>
    <x v="4"/>
    <s v="S05_2022_5"/>
    <x v="0"/>
    <s v="Transversal"/>
    <x v="4"/>
    <s v="Florentin"/>
    <x v="3"/>
    <x v="48"/>
    <x v="34"/>
    <d v="2022-02-24T00:00:00"/>
    <n v="592000"/>
    <n v="625631"/>
    <n v="625631"/>
    <n v="0"/>
    <n v="0"/>
    <n v="0"/>
    <n v="0"/>
    <n v="6256.31"/>
    <n v="27375"/>
    <n v="619375"/>
    <n v="4000"/>
    <s v="Soakoja"/>
    <n v="625631"/>
    <n v="93845"/>
    <x v="1"/>
    <x v="0"/>
    <x v="1"/>
    <x v="11"/>
  </r>
  <r>
    <x v="5"/>
    <s v="S06_2022_5"/>
    <x v="1"/>
    <s v="Transversal"/>
    <x v="5"/>
    <s v="Michel"/>
    <x v="4"/>
    <x v="48"/>
    <x v="34"/>
    <d v="2022-02-24T00:00:00"/>
    <n v="590000"/>
    <n v="620581"/>
    <n v="620581"/>
    <n v="0"/>
    <n v="0"/>
    <n v="0"/>
    <n v="0"/>
    <n v="6205.81"/>
    <n v="24375"/>
    <n v="614375"/>
    <n v="6000"/>
    <s v="Soakoja"/>
    <n v="620581"/>
    <n v="93087"/>
    <x v="1"/>
    <x v="1"/>
    <x v="2"/>
    <x v="11"/>
  </r>
  <r>
    <x v="7"/>
    <s v="S08_2022_5"/>
    <x v="0"/>
    <s v="Transversal"/>
    <x v="7"/>
    <s v="Onja"/>
    <x v="6"/>
    <x v="48"/>
    <x v="34"/>
    <d v="2022-02-24T00:00:00"/>
    <n v="890000"/>
    <n v="1006944"/>
    <n v="1006944"/>
    <n v="0"/>
    <n v="0"/>
    <n v="0"/>
    <n v="0"/>
    <n v="10069.44"/>
    <n v="106875"/>
    <n v="996875"/>
    <n v="0"/>
    <s v="Fanainga"/>
    <n v="1006944"/>
    <n v="151042"/>
    <x v="2"/>
    <x v="0"/>
    <x v="0"/>
    <x v="11"/>
  </r>
  <r>
    <x v="8"/>
    <s v="S09_2022_5"/>
    <x v="2"/>
    <s v="Maintenance"/>
    <x v="8"/>
    <s v="Rinon"/>
    <x v="1"/>
    <x v="49"/>
    <x v="34"/>
    <d v="2022-02-24T00:00:00"/>
    <n v="450000"/>
    <n v="458474"/>
    <n v="458474"/>
    <n v="0"/>
    <n v="0"/>
    <n v="0"/>
    <n v="0"/>
    <n v="4584.74"/>
    <n v="3889"/>
    <n v="453889"/>
    <n v="4000"/>
    <s v="Fanainga"/>
    <n v="458474"/>
    <n v="68771"/>
    <x v="1"/>
    <x v="1"/>
    <x v="1"/>
    <x v="11"/>
  </r>
  <r>
    <x v="9"/>
    <s v="S10_2022_5"/>
    <x v="2"/>
    <s v="Maintenance"/>
    <x v="9"/>
    <s v="Alain"/>
    <x v="7"/>
    <x v="49"/>
    <x v="34"/>
    <d v="2022-02-24T00:00:00"/>
    <n v="440000"/>
    <n v="449495"/>
    <n v="449495"/>
    <n v="0"/>
    <n v="0"/>
    <n v="0"/>
    <n v="0"/>
    <n v="4494.95"/>
    <n v="5000"/>
    <n v="445000"/>
    <n v="2000"/>
    <s v="Fanainga"/>
    <n v="449495"/>
    <n v="67424"/>
    <x v="1"/>
    <x v="0"/>
    <x v="3"/>
    <x v="11"/>
  </r>
  <r>
    <x v="10"/>
    <s v="S11_2022_5"/>
    <x v="0"/>
    <s v="Transversal"/>
    <x v="10"/>
    <s v="Raoul"/>
    <x v="8"/>
    <x v="48"/>
    <x v="34"/>
    <d v="2022-05-25T00:00:00"/>
    <n v="370000"/>
    <n v="332846"/>
    <n v="376769"/>
    <n v="24929"/>
    <n v="18994"/>
    <n v="0"/>
    <n v="0"/>
    <n v="3767.69"/>
    <n v="3000"/>
    <n v="373001"/>
    <n v="6000"/>
    <s v="Soakoja"/>
    <n v="376769"/>
    <n v="56515"/>
    <x v="1"/>
    <x v="0"/>
    <x v="4"/>
    <x v="11"/>
  </r>
  <r>
    <x v="11"/>
    <s v="S12_2022_5"/>
    <x v="0"/>
    <s v="Transversal"/>
    <x v="11"/>
    <s v="Benedictine"/>
    <x v="9"/>
    <x v="48"/>
    <x v="34"/>
    <d v="2022-02-24T00:00:00"/>
    <n v="95000"/>
    <n v="98990"/>
    <n v="98990"/>
    <n v="0"/>
    <n v="0"/>
    <n v="0"/>
    <n v="0"/>
    <n v="989.9"/>
    <n v="3000"/>
    <n v="98000"/>
    <n v="6000"/>
    <s v="Soakoja"/>
    <n v="98990"/>
    <n v="14849"/>
    <x v="1"/>
    <x v="0"/>
    <x v="5"/>
    <x v="11"/>
  </r>
  <r>
    <x v="12"/>
    <s v="S13_2022_5"/>
    <x v="1"/>
    <s v="Transversal"/>
    <x v="12"/>
    <s v="Herizo"/>
    <x v="10"/>
    <x v="49"/>
    <x v="34"/>
    <d v="2022-05-25T00:00:00"/>
    <n v="2500000"/>
    <n v="3020375"/>
    <n v="3020375"/>
    <n v="0"/>
    <n v="0"/>
    <n v="0"/>
    <n v="0"/>
    <n v="16000"/>
    <n v="504375"/>
    <n v="3004375"/>
    <n v="4000"/>
    <s v="Soakoja"/>
    <n v="1904000"/>
    <n v="240000"/>
    <x v="1"/>
    <x v="0"/>
    <x v="0"/>
    <x v="11"/>
  </r>
  <r>
    <x v="13"/>
    <s v="S14_2022_5"/>
    <x v="0"/>
    <s v="Transversal"/>
    <x v="13"/>
    <s v="Rene"/>
    <x v="8"/>
    <x v="48"/>
    <x v="34"/>
    <d v="2022-05-25T00:00:00"/>
    <n v="450000"/>
    <n v="332845"/>
    <n v="457582"/>
    <n v="24929"/>
    <n v="18994"/>
    <n v="0"/>
    <n v="59"/>
    <n v="4575.82"/>
    <n v="3000"/>
    <n v="453006"/>
    <n v="6000"/>
    <s v="Soakoja"/>
    <n v="457582"/>
    <n v="68637"/>
    <x v="1"/>
    <x v="0"/>
    <x v="4"/>
    <x v="11"/>
  </r>
  <r>
    <x v="14"/>
    <s v="S15_2022_5"/>
    <x v="2"/>
    <s v="Transversal"/>
    <x v="14"/>
    <s v="Chrisos"/>
    <x v="11"/>
    <x v="49"/>
    <x v="34"/>
    <d v="2022-02-24T00:00:00"/>
    <n v="1175000"/>
    <n v="1366793"/>
    <n v="1366793"/>
    <n v="0"/>
    <n v="0"/>
    <n v="0"/>
    <n v="0"/>
    <n v="13667.93"/>
    <n v="178125"/>
    <n v="1353125"/>
    <n v="0"/>
    <s v="Fanainga"/>
    <n v="1366793"/>
    <n v="205019"/>
    <x v="1"/>
    <x v="5"/>
    <x v="0"/>
    <x v="11"/>
  </r>
  <r>
    <x v="15"/>
    <s v="S16_2022_5"/>
    <x v="0"/>
    <s v="Maintenance"/>
    <x v="15"/>
    <s v="Victorien"/>
    <x v="7"/>
    <x v="48"/>
    <x v="34"/>
    <d v="2022-02-24T00:00:00"/>
    <n v="490000"/>
    <n v="505644"/>
    <n v="505644"/>
    <n v="0"/>
    <n v="0"/>
    <n v="0"/>
    <n v="0"/>
    <n v="5056.4399999999996"/>
    <n v="10588"/>
    <n v="500588"/>
    <n v="2000"/>
    <s v="Soakoja"/>
    <n v="505644"/>
    <n v="75847"/>
    <x v="1"/>
    <x v="0"/>
    <x v="3"/>
    <x v="11"/>
  </r>
  <r>
    <x v="16"/>
    <s v="S17_2022_5"/>
    <x v="0"/>
    <s v="Transversal"/>
    <x v="16"/>
    <s v="Velonasy"/>
    <x v="8"/>
    <x v="48"/>
    <x v="34"/>
    <d v="2022-05-25T00:00:00"/>
    <n v="444600"/>
    <n v="332845"/>
    <n v="452103"/>
    <n v="24929"/>
    <n v="18994"/>
    <n v="2"/>
    <n v="45"/>
    <n v="4521.03"/>
    <n v="3000"/>
    <n v="447582"/>
    <n v="6000"/>
    <s v="Soakoja"/>
    <n v="452103"/>
    <n v="67815"/>
    <x v="1"/>
    <x v="0"/>
    <x v="4"/>
    <x v="11"/>
  </r>
  <r>
    <x v="18"/>
    <s v="S19_2022_5"/>
    <x v="0"/>
    <s v="Maintenance"/>
    <x v="18"/>
    <s v="Faly"/>
    <x v="7"/>
    <x v="48"/>
    <x v="34"/>
    <d v="2022-02-24T00:00:00"/>
    <n v="702000"/>
    <n v="767045"/>
    <n v="767045"/>
    <n v="0"/>
    <n v="0"/>
    <n v="0"/>
    <n v="0"/>
    <n v="7670.45"/>
    <n v="57375"/>
    <n v="759375"/>
    <n v="2000"/>
    <s v="Fanainga"/>
    <n v="767045"/>
    <n v="115057"/>
    <x v="4"/>
    <x v="0"/>
    <x v="3"/>
    <x v="11"/>
  </r>
  <r>
    <x v="19"/>
    <s v="S20_2022_5"/>
    <x v="3"/>
    <s v="Maintenance"/>
    <x v="19"/>
    <s v="Manitrasina"/>
    <x v="1"/>
    <x v="48"/>
    <x v="34"/>
    <d v="2022-05-25T00:00:00"/>
    <n v="12250"/>
    <n v="15404"/>
    <n v="15404"/>
    <n v="0"/>
    <n v="0"/>
    <n v="0"/>
    <n v="0"/>
    <n v="154.04"/>
    <n v="3000"/>
    <n v="15250"/>
    <n v="2000"/>
    <s v="Soakoja"/>
    <n v="15404"/>
    <n v="2311"/>
    <x v="5"/>
    <x v="0"/>
    <x v="1"/>
    <x v="11"/>
  </r>
  <r>
    <x v="23"/>
    <s v="S24_2022_5"/>
    <x v="2"/>
    <s v="Transversal"/>
    <x v="23"/>
    <s v="Christophe"/>
    <x v="14"/>
    <x v="49"/>
    <x v="34"/>
    <d v="2022-05-25T00:00:00"/>
    <n v="650000"/>
    <n v="701389"/>
    <n v="701389"/>
    <n v="0"/>
    <n v="0"/>
    <n v="0"/>
    <n v="0"/>
    <n v="7013.89"/>
    <n v="44375"/>
    <n v="694375"/>
    <n v="2000"/>
    <s v="Fanainga"/>
    <n v="701389"/>
    <n v="105208"/>
    <x v="8"/>
    <x v="0"/>
    <x v="3"/>
    <x v="11"/>
  </r>
  <r>
    <x v="24"/>
    <s v="S25_2022_5"/>
    <x v="2"/>
    <s v="Maintenance"/>
    <x v="24"/>
    <s v="Doris"/>
    <x v="1"/>
    <x v="49"/>
    <x v="34"/>
    <d v="2022-02-24T00:00:00"/>
    <n v="527000"/>
    <n v="547237"/>
    <n v="547237"/>
    <n v="0"/>
    <n v="0"/>
    <n v="0"/>
    <n v="0"/>
    <n v="5472.37"/>
    <n v="14765"/>
    <n v="541765"/>
    <n v="4000"/>
    <s v="Fanainga"/>
    <n v="547237"/>
    <n v="82086"/>
    <x v="8"/>
    <x v="1"/>
    <x v="1"/>
    <x v="11"/>
  </r>
  <r>
    <x v="25"/>
    <s v="S26_2022_5"/>
    <x v="0"/>
    <s v="Construction"/>
    <x v="25"/>
    <s v="Anicet"/>
    <x v="5"/>
    <x v="49"/>
    <x v="34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1"/>
  </r>
  <r>
    <x v="27"/>
    <s v="S28_2022_5"/>
    <x v="2"/>
    <s v="Construction"/>
    <x v="27"/>
    <s v="Rodin"/>
    <x v="1"/>
    <x v="49"/>
    <x v="34"/>
    <d v="2022-02-24T00:00:00"/>
    <n v="400000"/>
    <n v="407071"/>
    <n v="407071"/>
    <n v="0"/>
    <n v="0"/>
    <n v="0"/>
    <n v="0"/>
    <n v="4070.71"/>
    <n v="3000"/>
    <n v="403000"/>
    <n v="0"/>
    <s v="Fanainga"/>
    <n v="407071"/>
    <n v="61061"/>
    <x v="8"/>
    <x v="0"/>
    <x v="1"/>
    <x v="11"/>
  </r>
  <r>
    <x v="29"/>
    <s v="S30_2022_5"/>
    <x v="2"/>
    <s v="Transversal"/>
    <x v="29"/>
    <s v="Marie Jeanne"/>
    <x v="9"/>
    <x v="48"/>
    <x v="34"/>
    <d v="2022-02-24T00:00:00"/>
    <n v="105000"/>
    <n v="109091"/>
    <n v="109091"/>
    <n v="0"/>
    <n v="0"/>
    <n v="0"/>
    <n v="0"/>
    <n v="1090.9100000000001"/>
    <n v="3000"/>
    <n v="108000"/>
    <n v="6000"/>
    <s v="Soakoja"/>
    <n v="109091"/>
    <n v="16364"/>
    <x v="8"/>
    <x v="0"/>
    <x v="5"/>
    <x v="11"/>
  </r>
  <r>
    <x v="31"/>
    <s v="S32_2022_5"/>
    <x v="0"/>
    <s v="Maintenance"/>
    <x v="31"/>
    <s v="Francot"/>
    <x v="1"/>
    <x v="48"/>
    <x v="34"/>
    <d v="2022-02-24T00:00:00"/>
    <n v="360000"/>
    <n v="366667"/>
    <n v="366667"/>
    <n v="0"/>
    <n v="0"/>
    <n v="0"/>
    <n v="0"/>
    <n v="3666.67"/>
    <n v="3000"/>
    <n v="363000"/>
    <n v="2000"/>
    <s v="Soakoja"/>
    <n v="366667"/>
    <n v="55000"/>
    <x v="10"/>
    <x v="12"/>
    <x v="1"/>
    <x v="11"/>
  </r>
  <r>
    <x v="32"/>
    <s v="S33_2022_5"/>
    <x v="0"/>
    <s v="Maintenance"/>
    <x v="32"/>
    <s v="Perolin"/>
    <x v="1"/>
    <x v="48"/>
    <x v="34"/>
    <d v="2022-02-24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11"/>
    <x v="0"/>
    <x v="1"/>
    <x v="11"/>
  </r>
  <r>
    <x v="30"/>
    <s v="S31_2022_5"/>
    <x v="2"/>
    <s v="Maintenance"/>
    <x v="30"/>
    <s v="Fabiolain"/>
    <x v="1"/>
    <x v="48"/>
    <x v="34"/>
    <d v="2022-05-25T00:00:00"/>
    <e v="#REF!"/>
    <n v="12800"/>
    <e v="#REF!"/>
    <n v="0"/>
    <n v="0"/>
    <n v="0"/>
    <n v="0"/>
    <e v="#REF!"/>
    <e v="#REF!"/>
    <e v="#REF!"/>
    <n v="2000"/>
    <s v="Soakoja"/>
    <e v="#REF!"/>
    <e v="#REF!"/>
    <x v="9"/>
    <x v="11"/>
    <x v="1"/>
    <x v="11"/>
  </r>
  <r>
    <x v="33"/>
    <s v="S34_2022_5"/>
    <x v="1"/>
    <s v="Transversal"/>
    <x v="33"/>
    <s v="Valérie"/>
    <x v="16"/>
    <x v="48"/>
    <x v="34"/>
    <d v="2022-02-24T00:00:00"/>
    <n v="720000"/>
    <n v="784722"/>
    <n v="784722"/>
    <n v="0"/>
    <n v="0"/>
    <n v="0"/>
    <n v="0"/>
    <n v="7847.22"/>
    <n v="56875"/>
    <n v="776875"/>
    <n v="6000"/>
    <s v="Fanainga"/>
    <n v="784722"/>
    <n v="117708"/>
    <x v="12"/>
    <x v="0"/>
    <x v="0"/>
    <x v="11"/>
  </r>
  <r>
    <x v="35"/>
    <s v="S36_2022_5"/>
    <x v="2"/>
    <s v="Transversal"/>
    <x v="35"/>
    <s v="Judicaël"/>
    <x v="3"/>
    <x v="48"/>
    <x v="34"/>
    <d v="2022-05-25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1"/>
  </r>
  <r>
    <x v="37"/>
    <s v="S38_2022_5"/>
    <x v="2"/>
    <s v="Maintenance"/>
    <x v="37"/>
    <s v="Christian"/>
    <x v="7"/>
    <x v="49"/>
    <x v="34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1"/>
  </r>
  <r>
    <x v="38"/>
    <s v="S39_2022_5"/>
    <x v="3"/>
    <s v="Maintenance"/>
    <x v="38"/>
    <s v="Lydie"/>
    <x v="19"/>
    <x v="49"/>
    <x v="34"/>
    <d v="2022-01-26T00:00:00"/>
    <n v="772500"/>
    <n v="858586"/>
    <n v="858586"/>
    <n v="0"/>
    <n v="0"/>
    <n v="0"/>
    <n v="0"/>
    <n v="8585.86"/>
    <n v="77500"/>
    <n v="850000"/>
    <n v="0"/>
    <s v="Soakoja"/>
    <n v="858586"/>
    <n v="128788"/>
    <x v="17"/>
    <x v="0"/>
    <x v="3"/>
    <x v="11"/>
  </r>
  <r>
    <x v="39"/>
    <s v="S40_2022_5"/>
    <x v="3"/>
    <s v="Maintenance"/>
    <x v="39"/>
    <s v="Nalaina"/>
    <x v="20"/>
    <x v="49"/>
    <x v="34"/>
    <d v="2022-01-26T00:00:00"/>
    <n v="774500"/>
    <n v="858586"/>
    <n v="858586"/>
    <n v="0"/>
    <n v="0"/>
    <n v="0"/>
    <n v="0"/>
    <n v="8585.86"/>
    <n v="75500"/>
    <n v="850000"/>
    <n v="2000"/>
    <s v="Soakoja"/>
    <n v="858586"/>
    <n v="128788"/>
    <x v="17"/>
    <x v="16"/>
    <x v="3"/>
    <x v="11"/>
  </r>
  <r>
    <x v="40"/>
    <s v="S41_2022_5"/>
    <x v="2"/>
    <s v="Transversal"/>
    <x v="40"/>
    <s v="Mimix"/>
    <x v="21"/>
    <x v="48"/>
    <x v="34"/>
    <d v="2022-03-24T00:00:00"/>
    <n v="550000"/>
    <n v="579323"/>
    <n v="579323"/>
    <n v="0"/>
    <n v="0"/>
    <n v="0"/>
    <n v="0"/>
    <n v="5793.23"/>
    <n v="23530"/>
    <n v="573530"/>
    <n v="0"/>
    <s v="Soakoja"/>
    <n v="579323"/>
    <n v="86898"/>
    <x v="18"/>
    <x v="17"/>
    <x v="3"/>
    <x v="11"/>
  </r>
  <r>
    <x v="41"/>
    <s v="S42_2022_5"/>
    <x v="3"/>
    <s v="Maintenance"/>
    <x v="41"/>
    <s v="Fifaliana"/>
    <x v="1"/>
    <x v="48"/>
    <x v="34"/>
    <d v="2022-05-25T00:00:00"/>
    <n v="9200"/>
    <n v="12373"/>
    <n v="12373"/>
    <n v="0"/>
    <n v="0"/>
    <n v="0"/>
    <n v="0"/>
    <n v="123.73"/>
    <n v="3000"/>
    <n v="12249"/>
    <n v="0"/>
    <s v="Soakoja"/>
    <n v="12373"/>
    <n v="1856"/>
    <x v="19"/>
    <x v="0"/>
    <x v="1"/>
    <x v="11"/>
  </r>
  <r>
    <x v="42"/>
    <s v="S43_2022_5"/>
    <x v="3"/>
    <s v="Maintenance"/>
    <x v="42"/>
    <s v="Hery"/>
    <x v="1"/>
    <x v="48"/>
    <x v="34"/>
    <d v="2022-05-25T00:00:00"/>
    <n v="9200"/>
    <n v="12373"/>
    <n v="12373"/>
    <n v="0"/>
    <n v="0"/>
    <n v="0"/>
    <n v="0"/>
    <n v="123.73"/>
    <n v="3000"/>
    <n v="12249"/>
    <n v="2000"/>
    <s v="Soakoja"/>
    <n v="12373"/>
    <n v="1856"/>
    <x v="19"/>
    <x v="0"/>
    <x v="1"/>
    <x v="11"/>
  </r>
  <r>
    <x v="0"/>
    <s v="S01_2022_6"/>
    <x v="0"/>
    <s v="Maintenance"/>
    <x v="0"/>
    <s v="Gaetan"/>
    <x v="0"/>
    <x v="50"/>
    <x v="35"/>
    <d v="2022-02-24T00:00:00"/>
    <n v="1100000"/>
    <n v="1264520"/>
    <n v="1264520"/>
    <n v="0"/>
    <n v="0"/>
    <n v="0"/>
    <n v="0"/>
    <n v="12645.2"/>
    <n v="151875"/>
    <n v="1251875"/>
    <n v="6000"/>
    <s v="Fanainga"/>
    <n v="1264520"/>
    <n v="189678"/>
    <x v="0"/>
    <x v="0"/>
    <x v="0"/>
    <x v="11"/>
  </r>
  <r>
    <x v="1"/>
    <s v="S02_2022_6"/>
    <x v="0"/>
    <s v="Maintenance"/>
    <x v="1"/>
    <s v="Luo"/>
    <x v="1"/>
    <x v="50"/>
    <x v="35"/>
    <d v="2022-02-24T00:00:00"/>
    <n v="480000"/>
    <n v="496633"/>
    <n v="496633"/>
    <n v="0"/>
    <n v="0"/>
    <n v="0"/>
    <n v="0"/>
    <n v="4966.33"/>
    <n v="11667"/>
    <n v="491667"/>
    <n v="0"/>
    <s v="Soakoja"/>
    <n v="496633"/>
    <n v="74495"/>
    <x v="0"/>
    <x v="1"/>
    <x v="1"/>
    <x v="11"/>
  </r>
  <r>
    <x v="2"/>
    <s v="S03_2022_6"/>
    <x v="0"/>
    <s v="Maintenance"/>
    <x v="2"/>
    <s v="Tsilavina"/>
    <x v="1"/>
    <x v="50"/>
    <x v="35"/>
    <d v="2022-02-24T00:00:00"/>
    <n v="442000"/>
    <n v="451739"/>
    <n v="451739"/>
    <n v="0"/>
    <n v="0"/>
    <n v="0"/>
    <n v="0"/>
    <n v="4517.3900000000003"/>
    <n v="5222"/>
    <n v="447222"/>
    <n v="2000"/>
    <s v="Soakoja"/>
    <n v="451739"/>
    <n v="67761"/>
    <x v="0"/>
    <x v="2"/>
    <x v="1"/>
    <x v="11"/>
  </r>
  <r>
    <x v="4"/>
    <s v="S05_2022_6"/>
    <x v="0"/>
    <s v="Transversal"/>
    <x v="4"/>
    <s v="Florentin"/>
    <x v="3"/>
    <x v="50"/>
    <x v="35"/>
    <d v="2022-02-24T00:00:00"/>
    <n v="592000"/>
    <n v="625631"/>
    <n v="625631"/>
    <n v="0"/>
    <n v="0"/>
    <n v="0"/>
    <n v="0"/>
    <n v="6256.31"/>
    <n v="27375"/>
    <n v="619375"/>
    <n v="4000"/>
    <s v="Soakoja"/>
    <n v="625631"/>
    <n v="93845"/>
    <x v="1"/>
    <x v="0"/>
    <x v="1"/>
    <x v="11"/>
  </r>
  <r>
    <x v="5"/>
    <s v="S06_2022_6"/>
    <x v="1"/>
    <s v="Transversal"/>
    <x v="5"/>
    <s v="Michel"/>
    <x v="4"/>
    <x v="50"/>
    <x v="35"/>
    <d v="2022-02-24T00:00:00"/>
    <n v="590000"/>
    <n v="620581"/>
    <n v="620581"/>
    <n v="0"/>
    <n v="0"/>
    <n v="0"/>
    <n v="0"/>
    <n v="6205.81"/>
    <n v="24375"/>
    <n v="614375"/>
    <n v="6000"/>
    <s v="Soakoja"/>
    <n v="620581"/>
    <n v="93087"/>
    <x v="1"/>
    <x v="1"/>
    <x v="2"/>
    <x v="11"/>
  </r>
  <r>
    <x v="7"/>
    <s v="S08_2022_6"/>
    <x v="0"/>
    <s v="Transversal"/>
    <x v="7"/>
    <s v="Onja"/>
    <x v="6"/>
    <x v="50"/>
    <x v="35"/>
    <d v="2022-02-24T00:00:00"/>
    <n v="890000"/>
    <n v="1006944"/>
    <n v="1006944"/>
    <n v="0"/>
    <n v="0"/>
    <n v="0"/>
    <n v="0"/>
    <n v="10069.44"/>
    <n v="106875"/>
    <n v="996875"/>
    <n v="0"/>
    <s v="Fanainga"/>
    <n v="1006944"/>
    <n v="151042"/>
    <x v="2"/>
    <x v="0"/>
    <x v="0"/>
    <x v="11"/>
  </r>
  <r>
    <x v="8"/>
    <s v="S09_2022_6"/>
    <x v="2"/>
    <s v="Maintenance"/>
    <x v="8"/>
    <s v="Rinon"/>
    <x v="1"/>
    <x v="50"/>
    <x v="35"/>
    <d v="2022-02-24T00:00:00"/>
    <n v="450000"/>
    <n v="458474"/>
    <n v="458474"/>
    <n v="0"/>
    <n v="0"/>
    <n v="0"/>
    <n v="0"/>
    <n v="4584.74"/>
    <n v="3889"/>
    <n v="453889"/>
    <n v="4000"/>
    <s v="Fanainga"/>
    <n v="458474"/>
    <n v="68771"/>
    <x v="1"/>
    <x v="1"/>
    <x v="1"/>
    <x v="11"/>
  </r>
  <r>
    <x v="9"/>
    <s v="S10_2022_6"/>
    <x v="2"/>
    <s v="Maintenance"/>
    <x v="9"/>
    <s v="Alain"/>
    <x v="7"/>
    <x v="50"/>
    <x v="35"/>
    <d v="2022-02-24T00:00:00"/>
    <n v="440000"/>
    <n v="449495"/>
    <n v="449495"/>
    <n v="0"/>
    <n v="0"/>
    <n v="0"/>
    <n v="0"/>
    <n v="4494.95"/>
    <n v="5000"/>
    <n v="445000"/>
    <n v="2000"/>
    <s v="Fanainga"/>
    <n v="449495"/>
    <n v="67424"/>
    <x v="1"/>
    <x v="0"/>
    <x v="3"/>
    <x v="11"/>
  </r>
  <r>
    <x v="10"/>
    <s v="S11_2022_6"/>
    <x v="0"/>
    <s v="Transversal"/>
    <x v="10"/>
    <s v="Raoul"/>
    <x v="8"/>
    <x v="50"/>
    <x v="35"/>
    <d v="2022-06-23T00:00:00"/>
    <n v="424200"/>
    <n v="332845"/>
    <n v="431558"/>
    <n v="24929"/>
    <n v="18994"/>
    <n v="1"/>
    <n v="35"/>
    <n v="4315.58"/>
    <n v="3000"/>
    <n v="427242"/>
    <n v="6000"/>
    <s v="Soakoja"/>
    <n v="431558"/>
    <n v="64734"/>
    <x v="1"/>
    <x v="0"/>
    <x v="4"/>
    <x v="11"/>
  </r>
  <r>
    <x v="11"/>
    <s v="S12_2022_6"/>
    <x v="0"/>
    <s v="Transversal"/>
    <x v="11"/>
    <s v="Benedictine"/>
    <x v="9"/>
    <x v="50"/>
    <x v="35"/>
    <d v="2022-02-24T00:00:00"/>
    <n v="95000"/>
    <n v="98990"/>
    <n v="98990"/>
    <n v="0"/>
    <n v="0"/>
    <n v="0"/>
    <n v="0"/>
    <n v="989.9"/>
    <n v="3000"/>
    <n v="98000"/>
    <n v="6000"/>
    <s v="Soakoja"/>
    <n v="98990"/>
    <n v="14849"/>
    <x v="1"/>
    <x v="0"/>
    <x v="5"/>
    <x v="11"/>
  </r>
  <r>
    <x v="12"/>
    <s v="S13_2022_6"/>
    <x v="1"/>
    <s v="Transversal"/>
    <x v="12"/>
    <s v="Herizo"/>
    <x v="10"/>
    <x v="50"/>
    <x v="35"/>
    <d v="2022-05-25T00:00:00"/>
    <n v="2500000"/>
    <n v="3020375"/>
    <n v="3020375"/>
    <n v="0"/>
    <n v="0"/>
    <n v="0"/>
    <n v="0"/>
    <n v="16000"/>
    <n v="504375"/>
    <n v="3004375"/>
    <n v="4000"/>
    <s v="Soakoja"/>
    <n v="1904000"/>
    <n v="240000"/>
    <x v="1"/>
    <x v="0"/>
    <x v="0"/>
    <x v="11"/>
  </r>
  <r>
    <x v="13"/>
    <s v="S14_2022_6"/>
    <x v="0"/>
    <s v="Transversal"/>
    <x v="13"/>
    <s v="Rene"/>
    <x v="8"/>
    <x v="50"/>
    <x v="35"/>
    <d v="2022-06-23T00:00:00"/>
    <n v="437800"/>
    <n v="332845"/>
    <n v="445255"/>
    <n v="24929"/>
    <n v="18994"/>
    <n v="1"/>
    <n v="45"/>
    <n v="4452.55"/>
    <n v="3000"/>
    <n v="440802"/>
    <n v="6000"/>
    <s v="Soakoja"/>
    <n v="445255"/>
    <n v="66788"/>
    <x v="1"/>
    <x v="0"/>
    <x v="4"/>
    <x v="11"/>
  </r>
  <r>
    <x v="14"/>
    <s v="S15_2022_6"/>
    <x v="2"/>
    <s v="Transversal"/>
    <x v="14"/>
    <s v="Chrisos"/>
    <x v="11"/>
    <x v="50"/>
    <x v="35"/>
    <d v="2022-02-24T00:00:00"/>
    <n v="1175000"/>
    <n v="1366793"/>
    <n v="1366793"/>
    <n v="0"/>
    <n v="0"/>
    <n v="0"/>
    <n v="0"/>
    <n v="13667.93"/>
    <n v="178125"/>
    <n v="1353125"/>
    <n v="0"/>
    <s v="Fanainga"/>
    <n v="1366793"/>
    <n v="205019"/>
    <x v="1"/>
    <x v="5"/>
    <x v="0"/>
    <x v="11"/>
  </r>
  <r>
    <x v="15"/>
    <s v="S16_2022_6"/>
    <x v="0"/>
    <s v="Maintenance"/>
    <x v="15"/>
    <s v="Victorien"/>
    <x v="7"/>
    <x v="50"/>
    <x v="35"/>
    <d v="2022-02-24T00:00:00"/>
    <n v="490000"/>
    <n v="505644"/>
    <n v="505644"/>
    <n v="0"/>
    <n v="0"/>
    <n v="0"/>
    <n v="0"/>
    <n v="5056.4399999999996"/>
    <n v="10588"/>
    <n v="500588"/>
    <n v="2000"/>
    <s v="Soakoja"/>
    <n v="505644"/>
    <n v="75847"/>
    <x v="1"/>
    <x v="0"/>
    <x v="3"/>
    <x v="11"/>
  </r>
  <r>
    <x v="16"/>
    <s v="S17_2022_6"/>
    <x v="0"/>
    <s v="Transversal"/>
    <x v="16"/>
    <s v="Velonasy"/>
    <x v="8"/>
    <x v="50"/>
    <x v="35"/>
    <d v="2022-06-23T00:00:00"/>
    <n v="376800"/>
    <n v="332845"/>
    <n v="383617"/>
    <n v="24929"/>
    <n v="18994"/>
    <n v="1"/>
    <n v="0"/>
    <n v="3836.17"/>
    <n v="3000"/>
    <n v="379781"/>
    <n v="6000"/>
    <s v="Soakoja"/>
    <n v="383617"/>
    <n v="57543"/>
    <x v="1"/>
    <x v="0"/>
    <x v="4"/>
    <x v="11"/>
  </r>
  <r>
    <x v="18"/>
    <s v="S19_2022_6"/>
    <x v="0"/>
    <s v="Maintenance"/>
    <x v="18"/>
    <s v="Faly"/>
    <x v="7"/>
    <x v="50"/>
    <x v="35"/>
    <d v="2022-02-24T00:00:00"/>
    <n v="702000"/>
    <n v="767045"/>
    <n v="767045"/>
    <n v="0"/>
    <n v="0"/>
    <n v="0"/>
    <n v="0"/>
    <n v="7670.45"/>
    <n v="57375"/>
    <n v="759375"/>
    <n v="2000"/>
    <s v="Fanainga"/>
    <n v="767045"/>
    <n v="115057"/>
    <x v="4"/>
    <x v="0"/>
    <x v="3"/>
    <x v="11"/>
  </r>
  <r>
    <x v="19"/>
    <s v="S20_2022_6"/>
    <x v="3"/>
    <s v="Maintenance"/>
    <x v="19"/>
    <s v="Manitrasina"/>
    <x v="1"/>
    <x v="50"/>
    <x v="35"/>
    <d v="2022-06-23T00:00:00"/>
    <n v="12250"/>
    <n v="15404"/>
    <n v="15404"/>
    <n v="0"/>
    <n v="0"/>
    <n v="0"/>
    <n v="0"/>
    <n v="154.04"/>
    <n v="3000"/>
    <n v="15250"/>
    <n v="2000"/>
    <s v="Soakoja"/>
    <n v="15404"/>
    <n v="2311"/>
    <x v="5"/>
    <x v="0"/>
    <x v="1"/>
    <x v="11"/>
  </r>
  <r>
    <x v="23"/>
    <s v="S24_2022_6"/>
    <x v="2"/>
    <s v="Transversal"/>
    <x v="23"/>
    <s v="Christophe"/>
    <x v="14"/>
    <x v="50"/>
    <x v="35"/>
    <d v="2022-05-25T00:00:00"/>
    <n v="650000"/>
    <n v="701389"/>
    <n v="701389"/>
    <n v="0"/>
    <n v="0"/>
    <n v="0"/>
    <n v="0"/>
    <n v="7013.89"/>
    <n v="44375"/>
    <n v="694375"/>
    <n v="2000"/>
    <s v="Fanainga"/>
    <n v="701389"/>
    <n v="105208"/>
    <x v="8"/>
    <x v="0"/>
    <x v="3"/>
    <x v="11"/>
  </r>
  <r>
    <x v="24"/>
    <s v="S25_2022_6"/>
    <x v="2"/>
    <s v="Maintenance"/>
    <x v="24"/>
    <s v="Doris"/>
    <x v="1"/>
    <x v="50"/>
    <x v="35"/>
    <d v="2022-02-24T00:00:00"/>
    <n v="527000"/>
    <n v="547237"/>
    <n v="547237"/>
    <n v="0"/>
    <n v="0"/>
    <n v="0"/>
    <n v="0"/>
    <n v="5472.37"/>
    <n v="14765"/>
    <n v="541765"/>
    <n v="4000"/>
    <s v="Fanainga"/>
    <n v="547237"/>
    <n v="82086"/>
    <x v="8"/>
    <x v="1"/>
    <x v="1"/>
    <x v="11"/>
  </r>
  <r>
    <x v="25"/>
    <s v="S26_2022_6"/>
    <x v="0"/>
    <s v="Construction"/>
    <x v="25"/>
    <s v="Anicet"/>
    <x v="5"/>
    <x v="50"/>
    <x v="35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1"/>
  </r>
  <r>
    <x v="27"/>
    <s v="S28_2022_6"/>
    <x v="2"/>
    <s v="Construction"/>
    <x v="27"/>
    <s v="Rodin"/>
    <x v="1"/>
    <x v="50"/>
    <x v="35"/>
    <d v="2022-02-24T00:00:00"/>
    <n v="400000"/>
    <n v="407071"/>
    <n v="407071"/>
    <n v="0"/>
    <n v="0"/>
    <n v="0"/>
    <n v="0"/>
    <n v="4070.71"/>
    <n v="3000"/>
    <n v="403000"/>
    <n v="0"/>
    <s v="Fanainga"/>
    <n v="407071"/>
    <n v="61061"/>
    <x v="8"/>
    <x v="0"/>
    <x v="1"/>
    <x v="11"/>
  </r>
  <r>
    <x v="29"/>
    <s v="S30_2022_6"/>
    <x v="2"/>
    <s v="Transversal"/>
    <x v="29"/>
    <s v="Marie Jeanne"/>
    <x v="9"/>
    <x v="50"/>
    <x v="35"/>
    <d v="2022-02-24T00:00:00"/>
    <n v="105000"/>
    <n v="109091"/>
    <n v="109091"/>
    <n v="0"/>
    <n v="0"/>
    <n v="0"/>
    <n v="0"/>
    <n v="1090.9100000000001"/>
    <n v="3000"/>
    <n v="108000"/>
    <n v="6000"/>
    <s v="Soakoja"/>
    <n v="109091"/>
    <n v="16364"/>
    <x v="8"/>
    <x v="0"/>
    <x v="5"/>
    <x v="11"/>
  </r>
  <r>
    <x v="31"/>
    <s v="S32_2022_6"/>
    <x v="0"/>
    <s v="Maintenance"/>
    <x v="31"/>
    <s v="Francot"/>
    <x v="1"/>
    <x v="50"/>
    <x v="35"/>
    <d v="2022-02-24T00:00:00"/>
    <n v="360000"/>
    <n v="366667"/>
    <n v="366667"/>
    <n v="0"/>
    <n v="0"/>
    <n v="0"/>
    <n v="0"/>
    <n v="3666.67"/>
    <n v="3000"/>
    <n v="363000"/>
    <n v="2000"/>
    <s v="Soakoja"/>
    <n v="366667"/>
    <n v="55000"/>
    <x v="10"/>
    <x v="12"/>
    <x v="1"/>
    <x v="11"/>
  </r>
  <r>
    <x v="32"/>
    <s v="S33_2022_6"/>
    <x v="0"/>
    <s v="Maintenance"/>
    <x v="32"/>
    <s v="Perolin"/>
    <x v="1"/>
    <x v="50"/>
    <x v="35"/>
    <d v="2022-02-24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11"/>
    <x v="0"/>
    <x v="1"/>
    <x v="11"/>
  </r>
  <r>
    <x v="30"/>
    <s v="S31_2022_6"/>
    <x v="2"/>
    <s v="Maintenance"/>
    <x v="30"/>
    <s v="Fabiolain"/>
    <x v="1"/>
    <x v="50"/>
    <x v="35"/>
    <d v="2022-06-23T00:00:00"/>
    <e v="#REF!"/>
    <n v="12800"/>
    <e v="#REF!"/>
    <n v="0"/>
    <n v="0"/>
    <n v="0"/>
    <n v="0"/>
    <e v="#REF!"/>
    <e v="#REF!"/>
    <e v="#REF!"/>
    <n v="2000"/>
    <s v="Soakoja"/>
    <e v="#REF!"/>
    <e v="#REF!"/>
    <x v="9"/>
    <x v="11"/>
    <x v="1"/>
    <x v="11"/>
  </r>
  <r>
    <x v="33"/>
    <s v="S34_2022_6"/>
    <x v="1"/>
    <s v="Transversal"/>
    <x v="33"/>
    <s v="Valérie"/>
    <x v="16"/>
    <x v="50"/>
    <x v="35"/>
    <d v="2022-02-24T00:00:00"/>
    <n v="720000"/>
    <n v="784722"/>
    <n v="784722"/>
    <n v="0"/>
    <n v="0"/>
    <n v="0"/>
    <n v="0"/>
    <n v="7847.22"/>
    <n v="56875"/>
    <n v="776875"/>
    <n v="6000"/>
    <s v="Fanainga"/>
    <n v="784722"/>
    <n v="117708"/>
    <x v="12"/>
    <x v="0"/>
    <x v="0"/>
    <x v="11"/>
  </r>
  <r>
    <x v="35"/>
    <s v="S36_2022_6"/>
    <x v="2"/>
    <s v="Transversal"/>
    <x v="35"/>
    <s v="Judicaël"/>
    <x v="3"/>
    <x v="50"/>
    <x v="35"/>
    <d v="2022-06-23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1"/>
  </r>
  <r>
    <x v="37"/>
    <s v="S38_2022_6"/>
    <x v="2"/>
    <s v="Maintenance"/>
    <x v="37"/>
    <s v="Christian"/>
    <x v="7"/>
    <x v="50"/>
    <x v="35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1"/>
  </r>
  <r>
    <x v="38"/>
    <s v="S39_2022_6"/>
    <x v="3"/>
    <s v="Maintenance"/>
    <x v="38"/>
    <s v="Lydie"/>
    <x v="19"/>
    <x v="50"/>
    <x v="35"/>
    <d v="2022-01-26T00:00:00"/>
    <n v="772500"/>
    <n v="858586"/>
    <n v="858586"/>
    <n v="0"/>
    <n v="0"/>
    <n v="0"/>
    <n v="0"/>
    <n v="8585.86"/>
    <n v="77500"/>
    <n v="850000"/>
    <n v="0"/>
    <s v="Soakoja"/>
    <n v="858586"/>
    <n v="128788"/>
    <x v="17"/>
    <x v="0"/>
    <x v="3"/>
    <x v="11"/>
  </r>
  <r>
    <x v="39"/>
    <s v="S40_2022_6"/>
    <x v="3"/>
    <s v="Maintenance"/>
    <x v="39"/>
    <s v="Nalaina"/>
    <x v="20"/>
    <x v="50"/>
    <x v="35"/>
    <d v="2022-01-26T00:00:00"/>
    <n v="774500"/>
    <n v="858586"/>
    <n v="858586"/>
    <n v="0"/>
    <n v="0"/>
    <n v="0"/>
    <n v="0"/>
    <n v="8585.86"/>
    <n v="75500"/>
    <n v="850000"/>
    <n v="2000"/>
    <s v="Soakoja"/>
    <n v="858586"/>
    <n v="128788"/>
    <x v="17"/>
    <x v="16"/>
    <x v="3"/>
    <x v="11"/>
  </r>
  <r>
    <x v="40"/>
    <s v="S41_2022_6"/>
    <x v="2"/>
    <s v="Transversal"/>
    <x v="40"/>
    <s v="Mimix"/>
    <x v="21"/>
    <x v="50"/>
    <x v="35"/>
    <d v="2022-03-24T00:00:00"/>
    <n v="550000"/>
    <n v="579323"/>
    <n v="579323"/>
    <n v="0"/>
    <n v="0"/>
    <n v="0"/>
    <n v="0"/>
    <n v="5793.23"/>
    <n v="23530"/>
    <n v="573530"/>
    <n v="0"/>
    <s v="Soakoja"/>
    <n v="579323"/>
    <n v="86898"/>
    <x v="18"/>
    <x v="17"/>
    <x v="3"/>
    <x v="11"/>
  </r>
  <r>
    <x v="41"/>
    <s v="S42_2022_6"/>
    <x v="3"/>
    <s v="Maintenance"/>
    <x v="41"/>
    <s v="Fifaliana"/>
    <x v="1"/>
    <x v="50"/>
    <x v="35"/>
    <d v="2022-06-23T00:00:00"/>
    <n v="9200"/>
    <n v="12373"/>
    <n v="12373"/>
    <n v="0"/>
    <n v="0"/>
    <n v="0"/>
    <n v="0"/>
    <n v="123.73"/>
    <n v="3000"/>
    <n v="12249"/>
    <n v="0"/>
    <s v="Soakoja"/>
    <n v="12373"/>
    <n v="1856"/>
    <x v="19"/>
    <x v="0"/>
    <x v="1"/>
    <x v="11"/>
  </r>
  <r>
    <x v="42"/>
    <s v="S43_2022_6"/>
    <x v="3"/>
    <s v="Maintenance"/>
    <x v="42"/>
    <s v="Hery"/>
    <x v="1"/>
    <x v="50"/>
    <x v="35"/>
    <d v="2022-06-23T00:00:00"/>
    <n v="9200"/>
    <n v="12373"/>
    <n v="12373"/>
    <n v="0"/>
    <n v="0"/>
    <n v="0"/>
    <n v="0"/>
    <n v="123.73"/>
    <n v="3000"/>
    <n v="12249"/>
    <n v="2000"/>
    <s v="Soakoja"/>
    <n v="12373"/>
    <n v="1856"/>
    <x v="19"/>
    <x v="0"/>
    <x v="1"/>
    <x v="11"/>
  </r>
  <r>
    <x v="43"/>
    <s v="S44_2022_6"/>
    <x v="2"/>
    <s v="Construction"/>
    <x v="43"/>
    <s v="Jean Christophe"/>
    <x v="5"/>
    <x v="50"/>
    <x v="35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18"/>
    <x v="1"/>
    <x v="11"/>
  </r>
  <r>
    <x v="44"/>
    <s v="S45_2022_6"/>
    <x v="2"/>
    <s v="Construction"/>
    <x v="44"/>
    <s v="Antonio"/>
    <x v="5"/>
    <x v="50"/>
    <x v="35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19"/>
    <x v="1"/>
    <x v="11"/>
  </r>
  <r>
    <x v="45"/>
    <s v="S46_2022_6"/>
    <x v="2"/>
    <s v="Maintenance"/>
    <x v="45"/>
    <s v="Angeliot"/>
    <x v="1"/>
    <x v="50"/>
    <x v="35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0"/>
    <x v="1"/>
    <x v="11"/>
  </r>
  <r>
    <x v="46"/>
    <s v="S47_2022_6"/>
    <x v="0"/>
    <s v="Construction"/>
    <x v="46"/>
    <s v="Dolin"/>
    <x v="5"/>
    <x v="50"/>
    <x v="35"/>
    <d v="2022-06-23T00:00:00"/>
    <n v="350000"/>
    <n v="356566"/>
    <n v="356566"/>
    <n v="0"/>
    <n v="0"/>
    <n v="0"/>
    <n v="0"/>
    <n v="3565.66"/>
    <n v="3000"/>
    <n v="353000"/>
    <n v="0"/>
    <s v="Soakoja"/>
    <n v="356566"/>
    <n v="53485"/>
    <x v="20"/>
    <x v="20"/>
    <x v="1"/>
    <x v="11"/>
  </r>
  <r>
    <x v="47"/>
    <s v="S48_2022_6"/>
    <x v="0"/>
    <s v="Maintenance"/>
    <x v="47"/>
    <s v="Seva Christophe"/>
    <x v="1"/>
    <x v="50"/>
    <x v="35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2"/>
    <x v="1"/>
    <x v="11"/>
  </r>
  <r>
    <x v="48"/>
    <s v="S49_2022_6"/>
    <x v="0"/>
    <s v="Maintenance"/>
    <x v="48"/>
    <s v="Jennio"/>
    <x v="1"/>
    <x v="50"/>
    <x v="35"/>
    <d v="2022-06-23T00:00:00"/>
    <n v="350000"/>
    <n v="356566"/>
    <n v="356566"/>
    <n v="0"/>
    <n v="0"/>
    <n v="0"/>
    <n v="0"/>
    <n v="3565.66"/>
    <n v="3000"/>
    <n v="353000"/>
    <n v="0"/>
    <s v="Soakoja"/>
    <n v="356566"/>
    <n v="53485"/>
    <x v="20"/>
    <x v="20"/>
    <x v="1"/>
    <x v="11"/>
  </r>
  <r>
    <x v="49"/>
    <s v="S50_2022_6"/>
    <x v="1"/>
    <s v="Transversal"/>
    <x v="49"/>
    <s v="Sandrine"/>
    <x v="22"/>
    <x v="50"/>
    <x v="35"/>
    <d v="2022-06-23T00:00:00"/>
    <n v="300000"/>
    <n v="306061"/>
    <n v="306061"/>
    <n v="0"/>
    <n v="0"/>
    <n v="0"/>
    <n v="0"/>
    <n v="3060.61"/>
    <n v="3000"/>
    <n v="303000"/>
    <n v="2000"/>
    <s v="Soakoja"/>
    <n v="306061"/>
    <n v="45909"/>
    <x v="21"/>
    <x v="0"/>
    <x v="1"/>
    <x v="11"/>
  </r>
  <r>
    <x v="0"/>
    <s v="S01_2022_7"/>
    <x v="0"/>
    <s v="Maintenance"/>
    <x v="0"/>
    <s v="Gaetan"/>
    <x v="0"/>
    <x v="51"/>
    <x v="36"/>
    <d v="2022-02-24T00:00:00"/>
    <n v="1100000"/>
    <n v="1264520"/>
    <n v="1264520"/>
    <n v="0"/>
    <n v="0"/>
    <n v="0"/>
    <n v="0"/>
    <n v="12645.2"/>
    <n v="151875"/>
    <n v="1251875"/>
    <n v="6000"/>
    <s v="Soakoja"/>
    <n v="1264520"/>
    <n v="189678"/>
    <x v="0"/>
    <x v="0"/>
    <x v="0"/>
    <x v="12"/>
  </r>
  <r>
    <x v="1"/>
    <s v="S02_2022_7"/>
    <x v="0"/>
    <s v="Maintenance"/>
    <x v="1"/>
    <s v="Luo"/>
    <x v="1"/>
    <x v="51"/>
    <x v="36"/>
    <d v="2022-02-24T00:00:00"/>
    <n v="480000"/>
    <n v="496633"/>
    <n v="496633"/>
    <n v="0"/>
    <n v="0"/>
    <n v="0"/>
    <n v="0"/>
    <n v="4966.33"/>
    <n v="11667"/>
    <n v="491667"/>
    <n v="0"/>
    <s v="Soakoja"/>
    <n v="496633"/>
    <n v="74495"/>
    <x v="0"/>
    <x v="1"/>
    <x v="1"/>
    <x v="12"/>
  </r>
  <r>
    <x v="2"/>
    <s v="S03_2022_7"/>
    <x v="0"/>
    <s v="Maintenance"/>
    <x v="2"/>
    <s v="Tsilavina"/>
    <x v="1"/>
    <x v="51"/>
    <x v="36"/>
    <d v="2022-02-24T00:00:00"/>
    <n v="442000"/>
    <n v="451739"/>
    <n v="451739"/>
    <n v="0"/>
    <n v="0"/>
    <n v="0"/>
    <n v="0"/>
    <n v="4517.3900000000003"/>
    <n v="5222"/>
    <n v="447222"/>
    <n v="2000"/>
    <s v="Soakoja"/>
    <n v="451739"/>
    <n v="67761"/>
    <x v="0"/>
    <x v="2"/>
    <x v="1"/>
    <x v="12"/>
  </r>
  <r>
    <x v="4"/>
    <s v="S05_2022_7"/>
    <x v="0"/>
    <s v="Transversal"/>
    <x v="4"/>
    <s v="Florentin"/>
    <x v="3"/>
    <x v="51"/>
    <x v="36"/>
    <d v="2022-02-24T00:00:00"/>
    <n v="592000"/>
    <n v="625631"/>
    <n v="625631"/>
    <n v="0"/>
    <n v="0"/>
    <n v="0"/>
    <n v="0"/>
    <n v="6256.31"/>
    <n v="27375"/>
    <n v="619375"/>
    <n v="4000"/>
    <s v="Soakoja"/>
    <n v="625631"/>
    <n v="93845"/>
    <x v="1"/>
    <x v="0"/>
    <x v="1"/>
    <x v="12"/>
  </r>
  <r>
    <x v="5"/>
    <s v="S06_2022_7"/>
    <x v="1"/>
    <s v="Transversal"/>
    <x v="5"/>
    <s v="Michel"/>
    <x v="4"/>
    <x v="51"/>
    <x v="36"/>
    <d v="2022-02-24T00:00:00"/>
    <n v="590000"/>
    <n v="620581"/>
    <n v="620581"/>
    <n v="0"/>
    <n v="0"/>
    <n v="0"/>
    <n v="0"/>
    <n v="6205.81"/>
    <n v="24375"/>
    <n v="614375"/>
    <n v="6000"/>
    <s v="Soakoja"/>
    <n v="620581"/>
    <n v="93087"/>
    <x v="1"/>
    <x v="1"/>
    <x v="2"/>
    <x v="12"/>
  </r>
  <r>
    <x v="7"/>
    <s v="S08_2022_7"/>
    <x v="0"/>
    <s v="Transversal"/>
    <x v="7"/>
    <s v="Onja"/>
    <x v="6"/>
    <x v="51"/>
    <x v="36"/>
    <d v="2022-02-24T00:00:00"/>
    <n v="890000"/>
    <n v="1006944"/>
    <n v="1006944"/>
    <n v="0"/>
    <n v="0"/>
    <n v="0"/>
    <n v="0"/>
    <n v="10069.44"/>
    <n v="106875"/>
    <n v="996875"/>
    <n v="0"/>
    <s v="Soakoja"/>
    <n v="1006944"/>
    <n v="151042"/>
    <x v="2"/>
    <x v="0"/>
    <x v="0"/>
    <x v="12"/>
  </r>
  <r>
    <x v="8"/>
    <s v="S09_2022_7"/>
    <x v="2"/>
    <s v="Maintenance"/>
    <x v="8"/>
    <s v="Rinon"/>
    <x v="1"/>
    <x v="51"/>
    <x v="36"/>
    <d v="2022-02-24T00:00:00"/>
    <n v="450000"/>
    <n v="458474"/>
    <n v="458474"/>
    <n v="0"/>
    <n v="0"/>
    <n v="0"/>
    <n v="0"/>
    <n v="4584.74"/>
    <n v="3889"/>
    <n v="453889"/>
    <n v="4000"/>
    <s v="Soakoja"/>
    <n v="458474"/>
    <n v="68771"/>
    <x v="1"/>
    <x v="1"/>
    <x v="1"/>
    <x v="12"/>
  </r>
  <r>
    <x v="9"/>
    <s v="S10_2022_7"/>
    <x v="2"/>
    <s v="Maintenance"/>
    <x v="9"/>
    <s v="Alain"/>
    <x v="7"/>
    <x v="51"/>
    <x v="36"/>
    <d v="2022-02-24T00:00:00"/>
    <n v="440000"/>
    <n v="449495"/>
    <n v="449495"/>
    <n v="0"/>
    <n v="0"/>
    <n v="0"/>
    <n v="0"/>
    <n v="4494.95"/>
    <n v="5000"/>
    <n v="445000"/>
    <n v="2000"/>
    <s v="Soakoja"/>
    <n v="449495"/>
    <n v="67424"/>
    <x v="1"/>
    <x v="0"/>
    <x v="3"/>
    <x v="12"/>
  </r>
  <r>
    <x v="10"/>
    <s v="S11_2022_7"/>
    <x v="0"/>
    <s v="Transversal"/>
    <x v="10"/>
    <s v="Raoul"/>
    <x v="8"/>
    <x v="51"/>
    <x v="36"/>
    <d v="2022-07-26T00:00:00"/>
    <n v="463400"/>
    <n v="332845"/>
    <n v="471280"/>
    <n v="24929"/>
    <n v="18994"/>
    <n v="0"/>
    <n v="69"/>
    <n v="4712.8"/>
    <n v="3157"/>
    <n v="466567"/>
    <n v="6000"/>
    <s v="Soakoja"/>
    <n v="471280"/>
    <n v="70692"/>
    <x v="1"/>
    <x v="0"/>
    <x v="4"/>
    <x v="12"/>
  </r>
  <r>
    <x v="11"/>
    <s v="S12_2022_7"/>
    <x v="0"/>
    <s v="Transversal"/>
    <x v="11"/>
    <s v="Benedictine"/>
    <x v="9"/>
    <x v="51"/>
    <x v="36"/>
    <d v="2022-02-24T00:00:00"/>
    <n v="95000"/>
    <n v="98990"/>
    <n v="98990"/>
    <n v="0"/>
    <n v="0"/>
    <n v="0"/>
    <n v="0"/>
    <n v="989.9"/>
    <n v="3000"/>
    <n v="98000"/>
    <n v="6000"/>
    <s v="Soakoja"/>
    <n v="98990"/>
    <n v="14849"/>
    <x v="1"/>
    <x v="0"/>
    <x v="5"/>
    <x v="12"/>
  </r>
  <r>
    <x v="12"/>
    <s v="S13_2022_7"/>
    <x v="1"/>
    <s v="Transversal"/>
    <x v="12"/>
    <s v="Herizo"/>
    <x v="10"/>
    <x v="51"/>
    <x v="36"/>
    <d v="2022-05-25T00:00:00"/>
    <n v="2500000"/>
    <n v="3020375"/>
    <n v="3020375"/>
    <n v="0"/>
    <n v="0"/>
    <n v="0"/>
    <n v="0"/>
    <n v="16000"/>
    <n v="504375"/>
    <n v="3004375"/>
    <n v="4000"/>
    <s v="Soakoja"/>
    <n v="1904000"/>
    <n v="240000"/>
    <x v="1"/>
    <x v="0"/>
    <x v="0"/>
    <x v="12"/>
  </r>
  <r>
    <x v="13"/>
    <s v="S14_2022_7"/>
    <x v="0"/>
    <s v="Transversal"/>
    <x v="13"/>
    <s v="Rene"/>
    <x v="8"/>
    <x v="51"/>
    <x v="36"/>
    <d v="2022-07-26T00:00:00"/>
    <n v="370000"/>
    <n v="332845"/>
    <n v="376768"/>
    <n v="24929"/>
    <n v="18994"/>
    <n v="0"/>
    <n v="0"/>
    <n v="3767.68"/>
    <n v="3000"/>
    <n v="373000"/>
    <n v="6000"/>
    <s v="Soakoja"/>
    <n v="376768"/>
    <n v="56515"/>
    <x v="1"/>
    <x v="0"/>
    <x v="4"/>
    <x v="12"/>
  </r>
  <r>
    <x v="14"/>
    <s v="S15_2022_7"/>
    <x v="2"/>
    <s v="Transversal"/>
    <x v="14"/>
    <s v="Chrisos"/>
    <x v="11"/>
    <x v="51"/>
    <x v="36"/>
    <d v="2022-02-24T00:00:00"/>
    <n v="1175000"/>
    <n v="1366793"/>
    <n v="1366793"/>
    <n v="0"/>
    <n v="0"/>
    <n v="0"/>
    <n v="0"/>
    <n v="13667.93"/>
    <n v="178125"/>
    <n v="1353125"/>
    <n v="0"/>
    <s v="Soakoja"/>
    <n v="1366793"/>
    <n v="205019"/>
    <x v="1"/>
    <x v="5"/>
    <x v="0"/>
    <x v="12"/>
  </r>
  <r>
    <x v="15"/>
    <s v="S16_2022_7"/>
    <x v="0"/>
    <s v="Maintenance"/>
    <x v="15"/>
    <s v="Victorien"/>
    <x v="7"/>
    <x v="51"/>
    <x v="36"/>
    <d v="2022-02-24T00:00:00"/>
    <n v="490000"/>
    <n v="505644"/>
    <n v="505644"/>
    <n v="0"/>
    <n v="0"/>
    <n v="0"/>
    <n v="0"/>
    <n v="5056.4399999999996"/>
    <n v="10588"/>
    <n v="500588"/>
    <n v="2000"/>
    <s v="Soakoja"/>
    <n v="505644"/>
    <n v="75847"/>
    <x v="1"/>
    <x v="0"/>
    <x v="3"/>
    <x v="12"/>
  </r>
  <r>
    <x v="16"/>
    <s v="S17_2022_7"/>
    <x v="0"/>
    <s v="Transversal"/>
    <x v="16"/>
    <s v="Velonasy"/>
    <x v="8"/>
    <x v="51"/>
    <x v="36"/>
    <d v="2022-07-26T00:00:00"/>
    <n v="444600"/>
    <n v="332845"/>
    <n v="452103"/>
    <n v="24929"/>
    <n v="18994"/>
    <n v="0"/>
    <n v="55"/>
    <n v="4521.03"/>
    <n v="3000"/>
    <n v="447582"/>
    <n v="6000"/>
    <s v="Soakoja"/>
    <n v="452103"/>
    <n v="67815"/>
    <x v="1"/>
    <x v="0"/>
    <x v="4"/>
    <x v="12"/>
  </r>
  <r>
    <x v="18"/>
    <s v="S19_2022_7"/>
    <x v="0"/>
    <s v="Maintenance"/>
    <x v="18"/>
    <s v="Faly"/>
    <x v="7"/>
    <x v="51"/>
    <x v="36"/>
    <d v="2022-02-24T00:00:00"/>
    <n v="702000"/>
    <n v="767045"/>
    <n v="767045"/>
    <n v="0"/>
    <n v="0"/>
    <n v="0"/>
    <n v="0"/>
    <n v="7670.45"/>
    <n v="57375"/>
    <n v="759375"/>
    <n v="2000"/>
    <s v="Soakoja"/>
    <n v="767045"/>
    <n v="115057"/>
    <x v="4"/>
    <x v="0"/>
    <x v="3"/>
    <x v="12"/>
  </r>
  <r>
    <x v="19"/>
    <s v="S20_2022_7"/>
    <x v="3"/>
    <s v="Maintenance"/>
    <x v="19"/>
    <s v="Manitrasina"/>
    <x v="1"/>
    <x v="51"/>
    <x v="36"/>
    <d v="2022-07-26T00:00:00"/>
    <n v="12300"/>
    <n v="15404"/>
    <n v="15404"/>
    <n v="0"/>
    <n v="0"/>
    <n v="0"/>
    <n v="0"/>
    <n v="154.04"/>
    <n v="3000"/>
    <n v="15250"/>
    <n v="2000"/>
    <s v="Soakoja"/>
    <n v="15404"/>
    <n v="2311"/>
    <x v="5"/>
    <x v="0"/>
    <x v="1"/>
    <x v="12"/>
  </r>
  <r>
    <x v="23"/>
    <s v="S24_2022_7"/>
    <x v="2"/>
    <s v="Transversal"/>
    <x v="23"/>
    <s v="Christophe"/>
    <x v="14"/>
    <x v="51"/>
    <x v="36"/>
    <d v="2022-05-25T00:00:00"/>
    <n v="650000"/>
    <n v="701389"/>
    <n v="701389"/>
    <n v="0"/>
    <n v="0"/>
    <n v="0"/>
    <n v="0"/>
    <n v="7013.89"/>
    <n v="44375"/>
    <n v="694375"/>
    <n v="2000"/>
    <s v="Soakoja"/>
    <n v="701389"/>
    <n v="105208"/>
    <x v="8"/>
    <x v="0"/>
    <x v="3"/>
    <x v="12"/>
  </r>
  <r>
    <x v="24"/>
    <s v="S25_2022_7"/>
    <x v="2"/>
    <s v="Maintenance"/>
    <x v="24"/>
    <s v="Doris"/>
    <x v="1"/>
    <x v="51"/>
    <x v="36"/>
    <d v="2022-02-24T00:00:00"/>
    <n v="527000"/>
    <n v="547237"/>
    <n v="547237"/>
    <n v="0"/>
    <n v="0"/>
    <n v="0"/>
    <n v="0"/>
    <n v="5472.37"/>
    <n v="14765"/>
    <n v="541765"/>
    <n v="4000"/>
    <s v="Soakoja"/>
    <n v="547237"/>
    <n v="82086"/>
    <x v="8"/>
    <x v="1"/>
    <x v="1"/>
    <x v="12"/>
  </r>
  <r>
    <x v="25"/>
    <s v="S26_2022_7"/>
    <x v="0"/>
    <s v="Construction"/>
    <x v="25"/>
    <s v="Anicet"/>
    <x v="5"/>
    <x v="51"/>
    <x v="36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2"/>
  </r>
  <r>
    <x v="27"/>
    <s v="S28_2022_7"/>
    <x v="2"/>
    <s v="Construction"/>
    <x v="27"/>
    <s v="Rodin"/>
    <x v="1"/>
    <x v="51"/>
    <x v="36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2"/>
  </r>
  <r>
    <x v="29"/>
    <s v="S30_2022_7"/>
    <x v="2"/>
    <s v="Transversal"/>
    <x v="29"/>
    <s v="Marie Jeanne"/>
    <x v="9"/>
    <x v="51"/>
    <x v="36"/>
    <d v="2022-02-24T00:00:00"/>
    <n v="105000"/>
    <n v="109091"/>
    <n v="109091"/>
    <n v="0"/>
    <n v="0"/>
    <n v="0"/>
    <n v="0"/>
    <n v="1090.9100000000001"/>
    <n v="3000"/>
    <n v="108000"/>
    <n v="6000"/>
    <s v="Soakoja"/>
    <n v="109091"/>
    <n v="16364"/>
    <x v="8"/>
    <x v="0"/>
    <x v="5"/>
    <x v="12"/>
  </r>
  <r>
    <x v="31"/>
    <s v="S32_2022_7"/>
    <x v="0"/>
    <s v="Maintenance"/>
    <x v="31"/>
    <s v="Francot"/>
    <x v="1"/>
    <x v="51"/>
    <x v="36"/>
    <d v="2022-02-24T00:00:00"/>
    <n v="360000"/>
    <n v="366667"/>
    <n v="366667"/>
    <n v="0"/>
    <n v="0"/>
    <n v="0"/>
    <n v="0"/>
    <n v="3666.67"/>
    <n v="3000"/>
    <n v="363000"/>
    <n v="2000"/>
    <s v="Soakoja"/>
    <n v="366667"/>
    <n v="55000"/>
    <x v="10"/>
    <x v="12"/>
    <x v="1"/>
    <x v="12"/>
  </r>
  <r>
    <x v="32"/>
    <s v="S33_2022_7"/>
    <x v="0"/>
    <s v="Maintenance"/>
    <x v="32"/>
    <s v="Perolin"/>
    <x v="1"/>
    <x v="51"/>
    <x v="36"/>
    <d v="2022-02-24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11"/>
    <x v="0"/>
    <x v="1"/>
    <x v="12"/>
  </r>
  <r>
    <x v="30"/>
    <s v="S31_2022_7"/>
    <x v="2"/>
    <s v="Maintenance"/>
    <x v="30"/>
    <s v="Fabiolain"/>
    <x v="1"/>
    <x v="51"/>
    <x v="36"/>
    <d v="2022-07-26T00:00:00"/>
    <e v="#REF!"/>
    <n v="12800"/>
    <e v="#REF!"/>
    <n v="0"/>
    <n v="0"/>
    <n v="0"/>
    <n v="0"/>
    <e v="#REF!"/>
    <e v="#REF!"/>
    <e v="#REF!"/>
    <n v="2000"/>
    <s v="Soakoja"/>
    <e v="#REF!"/>
    <e v="#REF!"/>
    <x v="9"/>
    <x v="11"/>
    <x v="1"/>
    <x v="12"/>
  </r>
  <r>
    <x v="33"/>
    <s v="S34_2022_7"/>
    <x v="1"/>
    <s v="Transversal"/>
    <x v="33"/>
    <s v="Valérie"/>
    <x v="16"/>
    <x v="51"/>
    <x v="36"/>
    <d v="2022-02-24T00:00:00"/>
    <n v="720000"/>
    <n v="784722"/>
    <n v="784722"/>
    <n v="0"/>
    <n v="0"/>
    <n v="0"/>
    <n v="0"/>
    <n v="7847.22"/>
    <n v="56875"/>
    <n v="776875"/>
    <n v="6000"/>
    <s v="Soakoja"/>
    <n v="784722"/>
    <n v="117708"/>
    <x v="12"/>
    <x v="0"/>
    <x v="0"/>
    <x v="12"/>
  </r>
  <r>
    <x v="35"/>
    <s v="S36_2022_7"/>
    <x v="2"/>
    <s v="Transversal"/>
    <x v="35"/>
    <s v="Judicaël"/>
    <x v="3"/>
    <x v="51"/>
    <x v="36"/>
    <d v="2022-07-26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2"/>
  </r>
  <r>
    <x v="37"/>
    <s v="S38_2022_7"/>
    <x v="2"/>
    <s v="Maintenance"/>
    <x v="37"/>
    <s v="Christian"/>
    <x v="7"/>
    <x v="51"/>
    <x v="36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2"/>
  </r>
  <r>
    <x v="38"/>
    <s v="S39_2022_7"/>
    <x v="3"/>
    <s v="Maintenance"/>
    <x v="38"/>
    <s v="Lydie"/>
    <x v="19"/>
    <x v="51"/>
    <x v="36"/>
    <d v="2022-07-26T00:00:00"/>
    <n v="810000"/>
    <n v="905934"/>
    <n v="905934"/>
    <n v="0"/>
    <n v="0"/>
    <n v="0"/>
    <n v="0"/>
    <n v="9059.34"/>
    <n v="86875"/>
    <n v="896875"/>
    <n v="0"/>
    <s v="Soakoja"/>
    <n v="905934"/>
    <n v="135890"/>
    <x v="17"/>
    <x v="0"/>
    <x v="3"/>
    <x v="12"/>
  </r>
  <r>
    <x v="39"/>
    <s v="S40_2022_7"/>
    <x v="3"/>
    <s v="Maintenance"/>
    <x v="39"/>
    <s v="Nalaina"/>
    <x v="20"/>
    <x v="51"/>
    <x v="36"/>
    <d v="2022-07-26T00:00:00"/>
    <n v="820000"/>
    <n v="916035"/>
    <n v="916035"/>
    <n v="0"/>
    <n v="0"/>
    <n v="0"/>
    <n v="0"/>
    <n v="9160.35"/>
    <n v="86875"/>
    <n v="906875"/>
    <n v="2000"/>
    <s v="Soakoja"/>
    <n v="916035"/>
    <n v="137405"/>
    <x v="17"/>
    <x v="16"/>
    <x v="3"/>
    <x v="12"/>
  </r>
  <r>
    <x v="40"/>
    <s v="S41_2022_7"/>
    <x v="2"/>
    <s v="Transversal"/>
    <x v="40"/>
    <s v="Mimix"/>
    <x v="21"/>
    <x v="51"/>
    <x v="36"/>
    <d v="2022-03-24T00:00:00"/>
    <n v="550000"/>
    <n v="579323"/>
    <n v="579323"/>
    <n v="0"/>
    <n v="0"/>
    <n v="0"/>
    <n v="0"/>
    <n v="5793.23"/>
    <n v="23530"/>
    <n v="573530"/>
    <n v="0"/>
    <s v="Soakoja"/>
    <n v="579323"/>
    <n v="86898"/>
    <x v="18"/>
    <x v="17"/>
    <x v="3"/>
    <x v="12"/>
  </r>
  <r>
    <x v="41"/>
    <s v="S42_2022_7"/>
    <x v="3"/>
    <s v="Maintenance"/>
    <x v="41"/>
    <s v="Fifaliana"/>
    <x v="1"/>
    <x v="51"/>
    <x v="36"/>
    <d v="2022-07-26T00:00:00"/>
    <n v="9200"/>
    <n v="12373"/>
    <n v="12373"/>
    <n v="0"/>
    <n v="0"/>
    <n v="0"/>
    <n v="0"/>
    <n v="123.73"/>
    <n v="3000"/>
    <n v="12249"/>
    <n v="0"/>
    <s v="Soakoja"/>
    <n v="12373"/>
    <n v="1856"/>
    <x v="19"/>
    <x v="0"/>
    <x v="1"/>
    <x v="12"/>
  </r>
  <r>
    <x v="42"/>
    <s v="S43_2022_7"/>
    <x v="3"/>
    <s v="Maintenance"/>
    <x v="42"/>
    <s v="Hery"/>
    <x v="1"/>
    <x v="51"/>
    <x v="36"/>
    <d v="2022-07-26T00:00:00"/>
    <n v="9200"/>
    <n v="12373"/>
    <n v="12373"/>
    <n v="0"/>
    <n v="0"/>
    <n v="0"/>
    <n v="0"/>
    <n v="123.73"/>
    <n v="3000"/>
    <n v="12249"/>
    <n v="2000"/>
    <s v="Soakoja"/>
    <n v="12373"/>
    <n v="1856"/>
    <x v="19"/>
    <x v="0"/>
    <x v="1"/>
    <x v="12"/>
  </r>
  <r>
    <x v="43"/>
    <s v="S44_2022_7"/>
    <x v="2"/>
    <s v="Construction"/>
    <x v="43"/>
    <s v="Jean Christophe"/>
    <x v="5"/>
    <x v="51"/>
    <x v="36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18"/>
    <x v="1"/>
    <x v="12"/>
  </r>
  <r>
    <x v="44"/>
    <s v="S45_2022_7"/>
    <x v="2"/>
    <s v="Construction"/>
    <x v="44"/>
    <s v="Antonio"/>
    <x v="5"/>
    <x v="51"/>
    <x v="36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19"/>
    <x v="1"/>
    <x v="12"/>
  </r>
  <r>
    <x v="45"/>
    <s v="S46_2022_7"/>
    <x v="2"/>
    <s v="Maintenance"/>
    <x v="45"/>
    <s v="Angeliot"/>
    <x v="1"/>
    <x v="51"/>
    <x v="36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0"/>
    <x v="1"/>
    <x v="12"/>
  </r>
  <r>
    <x v="46"/>
    <s v="S47_2022_7"/>
    <x v="0"/>
    <s v="Construction"/>
    <x v="46"/>
    <s v="Dolin"/>
    <x v="5"/>
    <x v="51"/>
    <x v="36"/>
    <d v="2022-06-23T00:00:00"/>
    <n v="350000"/>
    <n v="356566"/>
    <n v="356566"/>
    <n v="0"/>
    <n v="0"/>
    <n v="0"/>
    <n v="0"/>
    <n v="3565.66"/>
    <n v="3000"/>
    <n v="353000"/>
    <n v="0"/>
    <s v="Soakoja"/>
    <n v="356566"/>
    <n v="53485"/>
    <x v="20"/>
    <x v="20"/>
    <x v="1"/>
    <x v="12"/>
  </r>
  <r>
    <x v="47"/>
    <s v="S48_2022_7"/>
    <x v="0"/>
    <s v="Maintenance"/>
    <x v="47"/>
    <s v="Seva Christophe"/>
    <x v="1"/>
    <x v="51"/>
    <x v="36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2"/>
    <x v="1"/>
    <x v="12"/>
  </r>
  <r>
    <x v="48"/>
    <s v="S49_2022_7"/>
    <x v="0"/>
    <s v="Maintenance"/>
    <x v="48"/>
    <s v="Jennio"/>
    <x v="1"/>
    <x v="51"/>
    <x v="36"/>
    <d v="2022-06-23T00:00:00"/>
    <n v="350000"/>
    <n v="356566"/>
    <n v="356566"/>
    <n v="0"/>
    <n v="0"/>
    <n v="0"/>
    <n v="0"/>
    <n v="3565.66"/>
    <n v="3000"/>
    <n v="353000"/>
    <n v="0"/>
    <s v="Soakoja"/>
    <n v="356566"/>
    <n v="53485"/>
    <x v="20"/>
    <x v="20"/>
    <x v="1"/>
    <x v="12"/>
  </r>
  <r>
    <x v="49"/>
    <s v="S50_2022_7"/>
    <x v="1"/>
    <s v="Transversal"/>
    <x v="49"/>
    <s v="Sandrine"/>
    <x v="22"/>
    <x v="51"/>
    <x v="36"/>
    <d v="2022-07-26T00:00:00"/>
    <n v="500000"/>
    <n v="517528"/>
    <n v="517528"/>
    <n v="0"/>
    <n v="0"/>
    <n v="0"/>
    <n v="0"/>
    <n v="5175.28"/>
    <n v="12353"/>
    <n v="512353"/>
    <n v="2000"/>
    <s v="Soakoja"/>
    <n v="517528"/>
    <n v="77629"/>
    <x v="21"/>
    <x v="0"/>
    <x v="1"/>
    <x v="12"/>
  </r>
  <r>
    <x v="50"/>
    <s v="S51_2022_7"/>
    <x v="2"/>
    <s v="Transversal"/>
    <x v="50"/>
    <s v="Emerick"/>
    <x v="23"/>
    <x v="51"/>
    <x v="36"/>
    <d v="2022-07-26T00:00:00"/>
    <n v="1213000"/>
    <n v="1407197"/>
    <n v="1407197"/>
    <n v="0"/>
    <n v="0"/>
    <n v="0"/>
    <n v="0"/>
    <n v="14071.97"/>
    <n v="180125"/>
    <n v="1393125"/>
    <n v="6000"/>
    <s v="Soakoja"/>
    <n v="1407197"/>
    <n v="211080"/>
    <x v="22"/>
    <x v="21"/>
    <x v="0"/>
    <x v="12"/>
  </r>
  <r>
    <x v="51"/>
    <s v="S52_2022_7"/>
    <x v="2"/>
    <s v="Transversal"/>
    <x v="51"/>
    <s v="Zefania"/>
    <x v="3"/>
    <x v="51"/>
    <x v="36"/>
    <d v="2022-07-26T00:00:00"/>
    <n v="450000"/>
    <n v="460718"/>
    <n v="460718"/>
    <n v="0"/>
    <n v="0"/>
    <n v="0"/>
    <n v="0"/>
    <n v="4607.18"/>
    <n v="6111"/>
    <n v="456111"/>
    <n v="2000"/>
    <s v="Soakoja"/>
    <n v="460718"/>
    <n v="69108"/>
    <x v="23"/>
    <x v="22"/>
    <x v="1"/>
    <x v="12"/>
  </r>
  <r>
    <x v="0"/>
    <s v="S01_2022_8"/>
    <x v="0"/>
    <s v="Maintenance"/>
    <x v="0"/>
    <s v="Gaetan"/>
    <x v="0"/>
    <x v="52"/>
    <x v="37"/>
    <d v="2022-02-24T00:00:00"/>
    <n v="1100000"/>
    <n v="1264520"/>
    <n v="1264520"/>
    <n v="0"/>
    <n v="0"/>
    <n v="0"/>
    <n v="0"/>
    <n v="12645.2"/>
    <n v="151875"/>
    <n v="1251875"/>
    <n v="6000"/>
    <s v="Soakoja"/>
    <n v="1264520"/>
    <n v="189678"/>
    <x v="0"/>
    <x v="0"/>
    <x v="0"/>
    <x v="12"/>
  </r>
  <r>
    <x v="1"/>
    <s v="S02_2022_8"/>
    <x v="0"/>
    <s v="Maintenance"/>
    <x v="1"/>
    <s v="Luo"/>
    <x v="1"/>
    <x v="52"/>
    <x v="37"/>
    <d v="2022-02-24T00:00:00"/>
    <n v="480000"/>
    <n v="496633"/>
    <n v="496633"/>
    <n v="0"/>
    <n v="0"/>
    <n v="0"/>
    <n v="0"/>
    <n v="4966.33"/>
    <n v="11667"/>
    <n v="491667"/>
    <n v="0"/>
    <s v="Soakoja"/>
    <n v="496633"/>
    <n v="74495"/>
    <x v="0"/>
    <x v="1"/>
    <x v="1"/>
    <x v="12"/>
  </r>
  <r>
    <x v="2"/>
    <s v="S03_2022_8"/>
    <x v="0"/>
    <s v="Maintenance"/>
    <x v="2"/>
    <s v="Tsilavina"/>
    <x v="1"/>
    <x v="52"/>
    <x v="37"/>
    <d v="2022-02-24T00:00:00"/>
    <n v="442000"/>
    <n v="451739"/>
    <n v="451739"/>
    <n v="0"/>
    <n v="0"/>
    <n v="0"/>
    <n v="0"/>
    <n v="4517.3900000000003"/>
    <n v="5222"/>
    <n v="447222"/>
    <n v="2000"/>
    <s v="Soakoja"/>
    <n v="451739"/>
    <n v="67761"/>
    <x v="0"/>
    <x v="2"/>
    <x v="1"/>
    <x v="12"/>
  </r>
  <r>
    <x v="4"/>
    <s v="S05_2022_8"/>
    <x v="0"/>
    <s v="Transversal"/>
    <x v="4"/>
    <s v="Florentin"/>
    <x v="3"/>
    <x v="52"/>
    <x v="37"/>
    <d v="2022-02-24T00:00:00"/>
    <n v="592000"/>
    <n v="625631"/>
    <n v="625631"/>
    <n v="0"/>
    <n v="0"/>
    <n v="0"/>
    <n v="0"/>
    <n v="6256.31"/>
    <n v="27375"/>
    <n v="619375"/>
    <n v="4000"/>
    <s v="Soakoja"/>
    <n v="625631"/>
    <n v="93845"/>
    <x v="1"/>
    <x v="0"/>
    <x v="1"/>
    <x v="12"/>
  </r>
  <r>
    <x v="5"/>
    <s v="S06_2022_8"/>
    <x v="1"/>
    <s v="Transversal"/>
    <x v="5"/>
    <s v="Michel"/>
    <x v="4"/>
    <x v="52"/>
    <x v="37"/>
    <d v="2022-02-24T00:00:00"/>
    <n v="590000"/>
    <n v="620581"/>
    <n v="620581"/>
    <n v="0"/>
    <n v="0"/>
    <n v="0"/>
    <n v="0"/>
    <n v="6205.81"/>
    <n v="24375"/>
    <n v="614375"/>
    <n v="6000"/>
    <s v="Soakoja"/>
    <n v="620581"/>
    <n v="93087"/>
    <x v="1"/>
    <x v="1"/>
    <x v="2"/>
    <x v="12"/>
  </r>
  <r>
    <x v="7"/>
    <s v="S08_2022_8"/>
    <x v="0"/>
    <s v="Transversal"/>
    <x v="7"/>
    <s v="Onja"/>
    <x v="6"/>
    <x v="52"/>
    <x v="37"/>
    <d v="2022-02-24T00:00:00"/>
    <n v="890000"/>
    <n v="1006944"/>
    <n v="1006944"/>
    <n v="0"/>
    <n v="0"/>
    <n v="0"/>
    <n v="0"/>
    <n v="10069.44"/>
    <n v="106875"/>
    <n v="996875"/>
    <n v="0"/>
    <s v="Soakoja"/>
    <n v="1006944"/>
    <n v="151042"/>
    <x v="2"/>
    <x v="0"/>
    <x v="0"/>
    <x v="12"/>
  </r>
  <r>
    <x v="8"/>
    <s v="S09_2022_8"/>
    <x v="2"/>
    <s v="Maintenance"/>
    <x v="8"/>
    <s v="Rinon"/>
    <x v="1"/>
    <x v="52"/>
    <x v="37"/>
    <d v="2022-02-24T00:00:00"/>
    <n v="450000"/>
    <n v="458474"/>
    <n v="458474"/>
    <n v="0"/>
    <n v="0"/>
    <n v="0"/>
    <n v="0"/>
    <n v="4584.74"/>
    <n v="3889"/>
    <n v="453889"/>
    <n v="4000"/>
    <s v="Soakoja"/>
    <n v="458474"/>
    <n v="68771"/>
    <x v="1"/>
    <x v="1"/>
    <x v="1"/>
    <x v="12"/>
  </r>
  <r>
    <x v="9"/>
    <s v="S10_2022_8"/>
    <x v="2"/>
    <s v="Maintenance"/>
    <x v="9"/>
    <s v="Alain"/>
    <x v="7"/>
    <x v="52"/>
    <x v="37"/>
    <d v="2022-02-24T00:00:00"/>
    <n v="440000"/>
    <n v="449495"/>
    <n v="449495"/>
    <n v="0"/>
    <n v="0"/>
    <n v="0"/>
    <n v="0"/>
    <n v="4494.95"/>
    <n v="5000"/>
    <n v="445000"/>
    <n v="2000"/>
    <s v="Soakoja"/>
    <n v="449495"/>
    <n v="67424"/>
    <x v="1"/>
    <x v="0"/>
    <x v="3"/>
    <x v="12"/>
  </r>
  <r>
    <x v="10"/>
    <s v="S11_2022_8"/>
    <x v="0"/>
    <s v="Transversal"/>
    <x v="10"/>
    <s v="Raoul"/>
    <x v="8"/>
    <x v="52"/>
    <x v="37"/>
    <d v="2022-08-25T00:00:00"/>
    <n v="370000"/>
    <n v="332845"/>
    <n v="376768"/>
    <n v="24929"/>
    <n v="18994"/>
    <n v="0"/>
    <n v="0"/>
    <n v="3767.68"/>
    <n v="3000"/>
    <n v="373000"/>
    <n v="6000"/>
    <s v="Soakoja"/>
    <n v="376768"/>
    <n v="56515"/>
    <x v="1"/>
    <x v="0"/>
    <x v="4"/>
    <x v="12"/>
  </r>
  <r>
    <x v="11"/>
    <s v="S12_2022_8"/>
    <x v="0"/>
    <s v="Transversal"/>
    <x v="11"/>
    <s v="Benedictine"/>
    <x v="9"/>
    <x v="52"/>
    <x v="37"/>
    <d v="2022-02-24T00:00:00"/>
    <n v="95000"/>
    <n v="98990"/>
    <n v="98990"/>
    <n v="0"/>
    <n v="0"/>
    <n v="0"/>
    <n v="0"/>
    <n v="989.9"/>
    <n v="3000"/>
    <n v="98000"/>
    <n v="6000"/>
    <s v="Soakoja"/>
    <n v="98990"/>
    <n v="14849"/>
    <x v="1"/>
    <x v="0"/>
    <x v="5"/>
    <x v="12"/>
  </r>
  <r>
    <x v="12"/>
    <s v="S13_2022_8"/>
    <x v="1"/>
    <s v="Transversal"/>
    <x v="12"/>
    <s v="Herizo"/>
    <x v="10"/>
    <x v="52"/>
    <x v="37"/>
    <d v="2022-05-25T00:00:00"/>
    <n v="2500000"/>
    <n v="3020375"/>
    <n v="3020375"/>
    <n v="0"/>
    <n v="0"/>
    <n v="0"/>
    <n v="0"/>
    <n v="16000"/>
    <n v="504375"/>
    <n v="3004375"/>
    <n v="4000"/>
    <s v="Soakoja"/>
    <n v="1904000"/>
    <n v="240000"/>
    <x v="1"/>
    <x v="0"/>
    <x v="0"/>
    <x v="12"/>
  </r>
  <r>
    <x v="13"/>
    <s v="S14_2022_8"/>
    <x v="0"/>
    <s v="Transversal"/>
    <x v="13"/>
    <s v="Rene"/>
    <x v="8"/>
    <x v="52"/>
    <x v="37"/>
    <d v="2022-08-25T00:00:00"/>
    <n v="437800"/>
    <n v="332845"/>
    <n v="445255"/>
    <n v="24929"/>
    <n v="18994"/>
    <n v="1"/>
    <n v="45"/>
    <n v="4452.55"/>
    <n v="3000"/>
    <n v="440802"/>
    <n v="6000"/>
    <s v="Soakoja"/>
    <n v="445255"/>
    <n v="66788"/>
    <x v="1"/>
    <x v="0"/>
    <x v="4"/>
    <x v="12"/>
  </r>
  <r>
    <x v="14"/>
    <s v="S15_2022_8"/>
    <x v="2"/>
    <s v="Transversal"/>
    <x v="14"/>
    <s v="Chrisos"/>
    <x v="11"/>
    <x v="52"/>
    <x v="37"/>
    <d v="2022-02-24T00:00:00"/>
    <n v="1175000"/>
    <n v="1366793"/>
    <n v="1366793"/>
    <n v="0"/>
    <n v="0"/>
    <n v="0"/>
    <n v="0"/>
    <n v="13667.93"/>
    <n v="178125"/>
    <n v="1353125"/>
    <n v="0"/>
    <s v="Soakoja"/>
    <n v="1366793"/>
    <n v="205019"/>
    <x v="1"/>
    <x v="5"/>
    <x v="0"/>
    <x v="12"/>
  </r>
  <r>
    <x v="15"/>
    <s v="S16_2022_8"/>
    <x v="0"/>
    <s v="Maintenance"/>
    <x v="15"/>
    <s v="Victorien"/>
    <x v="7"/>
    <x v="52"/>
    <x v="37"/>
    <d v="2022-02-24T00:00:00"/>
    <n v="490000"/>
    <n v="505644"/>
    <n v="505644"/>
    <n v="0"/>
    <n v="0"/>
    <n v="0"/>
    <n v="0"/>
    <n v="5056.4399999999996"/>
    <n v="10588"/>
    <n v="500588"/>
    <n v="2000"/>
    <s v="Soakoja"/>
    <n v="505644"/>
    <n v="75847"/>
    <x v="1"/>
    <x v="0"/>
    <x v="3"/>
    <x v="12"/>
  </r>
  <r>
    <x v="16"/>
    <s v="S17_2022_8"/>
    <x v="0"/>
    <s v="Transversal"/>
    <x v="16"/>
    <s v="Velonasy"/>
    <x v="8"/>
    <x v="52"/>
    <x v="37"/>
    <d v="2022-08-25T00:00:00"/>
    <n v="468300"/>
    <n v="332845"/>
    <n v="476758"/>
    <n v="24929"/>
    <n v="18994"/>
    <n v="0"/>
    <n v="73"/>
    <n v="4767.58"/>
    <n v="3699"/>
    <n v="471990"/>
    <n v="6000"/>
    <s v="Soakoja"/>
    <n v="476758"/>
    <n v="71514"/>
    <x v="1"/>
    <x v="0"/>
    <x v="4"/>
    <x v="12"/>
  </r>
  <r>
    <x v="18"/>
    <s v="S19_2022_8"/>
    <x v="0"/>
    <s v="Maintenance"/>
    <x v="18"/>
    <s v="Faly"/>
    <x v="7"/>
    <x v="52"/>
    <x v="37"/>
    <d v="2022-02-24T00:00:00"/>
    <n v="702000"/>
    <n v="767045"/>
    <n v="767045"/>
    <n v="0"/>
    <n v="0"/>
    <n v="0"/>
    <n v="0"/>
    <n v="7670.45"/>
    <n v="57375"/>
    <n v="759375"/>
    <n v="2000"/>
    <s v="Soakoja"/>
    <n v="767045"/>
    <n v="115057"/>
    <x v="4"/>
    <x v="0"/>
    <x v="3"/>
    <x v="12"/>
  </r>
  <r>
    <x v="19"/>
    <s v="S20_2022_8"/>
    <x v="3"/>
    <s v="Maintenance"/>
    <x v="19"/>
    <s v="Manitrasina"/>
    <x v="1"/>
    <x v="52"/>
    <x v="37"/>
    <d v="2022-08-25T00:00:00"/>
    <n v="12300"/>
    <n v="15404"/>
    <n v="15404"/>
    <n v="0"/>
    <n v="0"/>
    <n v="0"/>
    <n v="0"/>
    <n v="154.04"/>
    <n v="3000"/>
    <n v="15250"/>
    <n v="2000"/>
    <s v="Soakoja"/>
    <n v="15404"/>
    <n v="2311"/>
    <x v="5"/>
    <x v="0"/>
    <x v="1"/>
    <x v="12"/>
  </r>
  <r>
    <x v="23"/>
    <s v="S24_2022_8"/>
    <x v="2"/>
    <s v="Transversal"/>
    <x v="23"/>
    <s v="Christophe"/>
    <x v="14"/>
    <x v="52"/>
    <x v="37"/>
    <d v="2022-05-25T00:00:00"/>
    <n v="650000"/>
    <n v="701389"/>
    <n v="701389"/>
    <n v="0"/>
    <n v="0"/>
    <n v="0"/>
    <n v="0"/>
    <n v="7013.89"/>
    <n v="44375"/>
    <n v="694375"/>
    <n v="2000"/>
    <s v="Soakoja"/>
    <n v="701389"/>
    <n v="105208"/>
    <x v="8"/>
    <x v="0"/>
    <x v="3"/>
    <x v="12"/>
  </r>
  <r>
    <x v="24"/>
    <s v="S25_2022_8"/>
    <x v="2"/>
    <s v="Maintenance"/>
    <x v="24"/>
    <s v="Doris"/>
    <x v="1"/>
    <x v="52"/>
    <x v="37"/>
    <d v="2022-02-24T00:00:00"/>
    <n v="527000"/>
    <n v="547237"/>
    <n v="547237"/>
    <n v="0"/>
    <n v="0"/>
    <n v="0"/>
    <n v="0"/>
    <n v="5472.37"/>
    <n v="14765"/>
    <n v="541765"/>
    <n v="4000"/>
    <s v="Soakoja"/>
    <n v="547237"/>
    <n v="82086"/>
    <x v="8"/>
    <x v="1"/>
    <x v="1"/>
    <x v="12"/>
  </r>
  <r>
    <x v="25"/>
    <s v="S26_2022_8"/>
    <x v="0"/>
    <s v="Construction"/>
    <x v="25"/>
    <s v="Anicet"/>
    <x v="5"/>
    <x v="52"/>
    <x v="37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2"/>
  </r>
  <r>
    <x v="27"/>
    <s v="S28_2022_8"/>
    <x v="2"/>
    <s v="Construction"/>
    <x v="27"/>
    <s v="Rodin"/>
    <x v="1"/>
    <x v="52"/>
    <x v="37"/>
    <d v="2022-02-24T00:00:00"/>
    <n v="400000"/>
    <n v="407071"/>
    <n v="407071"/>
    <n v="0"/>
    <n v="0"/>
    <n v="0"/>
    <n v="0"/>
    <n v="4070.71"/>
    <n v="3000"/>
    <n v="403000"/>
    <n v="0"/>
    <s v="Soakoja"/>
    <n v="407071"/>
    <n v="61061"/>
    <x v="8"/>
    <x v="0"/>
    <x v="1"/>
    <x v="12"/>
  </r>
  <r>
    <x v="29"/>
    <s v="S30_2022_8"/>
    <x v="2"/>
    <s v="Transversal"/>
    <x v="29"/>
    <s v="Marie Jeanne"/>
    <x v="9"/>
    <x v="52"/>
    <x v="37"/>
    <d v="2022-02-24T00:00:00"/>
    <n v="105000"/>
    <n v="109091"/>
    <n v="109091"/>
    <n v="0"/>
    <n v="0"/>
    <n v="0"/>
    <n v="0"/>
    <n v="1090.9100000000001"/>
    <n v="3000"/>
    <n v="108000"/>
    <n v="6000"/>
    <s v="Soakoja"/>
    <n v="109091"/>
    <n v="16364"/>
    <x v="8"/>
    <x v="0"/>
    <x v="5"/>
    <x v="12"/>
  </r>
  <r>
    <x v="31"/>
    <s v="S32_2022_8"/>
    <x v="0"/>
    <s v="Maintenance"/>
    <x v="31"/>
    <s v="Francot"/>
    <x v="1"/>
    <x v="52"/>
    <x v="37"/>
    <d v="2022-02-24T00:00:00"/>
    <n v="360000"/>
    <n v="366667"/>
    <n v="366667"/>
    <n v="0"/>
    <n v="0"/>
    <n v="0"/>
    <n v="0"/>
    <n v="3666.67"/>
    <n v="3000"/>
    <n v="363000"/>
    <n v="2000"/>
    <s v="Soakoja"/>
    <n v="366667"/>
    <n v="55000"/>
    <x v="10"/>
    <x v="12"/>
    <x v="1"/>
    <x v="12"/>
  </r>
  <r>
    <x v="32"/>
    <s v="S33_2022_8"/>
    <x v="0"/>
    <s v="Maintenance"/>
    <x v="32"/>
    <s v="Perolin"/>
    <x v="1"/>
    <x v="52"/>
    <x v="37"/>
    <d v="2022-02-24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11"/>
    <x v="0"/>
    <x v="1"/>
    <x v="12"/>
  </r>
  <r>
    <x v="30"/>
    <s v="S31_2022_8"/>
    <x v="2"/>
    <s v="Maintenance"/>
    <x v="30"/>
    <s v="Fabiolain"/>
    <x v="1"/>
    <x v="52"/>
    <x v="37"/>
    <d v="2022-08-25T00:00:00"/>
    <e v="#REF!"/>
    <n v="12800"/>
    <e v="#REF!"/>
    <n v="0"/>
    <n v="0"/>
    <n v="0"/>
    <n v="0"/>
    <e v="#REF!"/>
    <e v="#REF!"/>
    <e v="#REF!"/>
    <n v="2000"/>
    <s v="Soakoja"/>
    <e v="#REF!"/>
    <e v="#REF!"/>
    <x v="9"/>
    <x v="11"/>
    <x v="1"/>
    <x v="12"/>
  </r>
  <r>
    <x v="33"/>
    <s v="S34_2022_8"/>
    <x v="1"/>
    <s v="Transversal"/>
    <x v="33"/>
    <s v="Valérie"/>
    <x v="16"/>
    <x v="52"/>
    <x v="37"/>
    <d v="2022-02-24T00:00:00"/>
    <n v="720000"/>
    <n v="784722"/>
    <n v="784722"/>
    <n v="0"/>
    <n v="0"/>
    <n v="0"/>
    <n v="0"/>
    <n v="7847.22"/>
    <n v="56875"/>
    <n v="776875"/>
    <n v="6000"/>
    <s v="Soakoja"/>
    <n v="784722"/>
    <n v="117708"/>
    <x v="12"/>
    <x v="0"/>
    <x v="0"/>
    <x v="12"/>
  </r>
  <r>
    <x v="35"/>
    <s v="S36_2022_8"/>
    <x v="2"/>
    <s v="Transversal"/>
    <x v="35"/>
    <s v="Judicaël"/>
    <x v="3"/>
    <x v="52"/>
    <x v="37"/>
    <d v="2022-08-25T00:00:00"/>
    <n v="13100"/>
    <n v="16250"/>
    <n v="16250"/>
    <n v="0"/>
    <n v="0"/>
    <n v="0"/>
    <n v="0"/>
    <n v="162.5"/>
    <n v="3000"/>
    <n v="16088"/>
    <n v="6000"/>
    <s v="Soakoja"/>
    <n v="16250"/>
    <n v="2438"/>
    <x v="14"/>
    <x v="14"/>
    <x v="1"/>
    <x v="12"/>
  </r>
  <r>
    <x v="37"/>
    <s v="S38_2022_8"/>
    <x v="2"/>
    <s v="Maintenance"/>
    <x v="37"/>
    <s v="Christian"/>
    <x v="7"/>
    <x v="52"/>
    <x v="37"/>
    <d v="2022-01-26T00:00:00"/>
    <n v="500000"/>
    <n v="519905"/>
    <n v="519905"/>
    <n v="0"/>
    <n v="0"/>
    <n v="0"/>
    <n v="0"/>
    <n v="5199.05"/>
    <n v="14706"/>
    <n v="514706"/>
    <n v="0"/>
    <s v="Soakoja"/>
    <n v="519905"/>
    <n v="77986"/>
    <x v="16"/>
    <x v="0"/>
    <x v="3"/>
    <x v="12"/>
  </r>
  <r>
    <x v="38"/>
    <s v="S39_2022_8"/>
    <x v="3"/>
    <s v="Maintenance"/>
    <x v="38"/>
    <s v="Lydie"/>
    <x v="19"/>
    <x v="52"/>
    <x v="37"/>
    <d v="2022-07-26T00:00:00"/>
    <n v="810000"/>
    <n v="905934"/>
    <n v="905934"/>
    <n v="0"/>
    <n v="0"/>
    <n v="0"/>
    <n v="0"/>
    <n v="9059.34"/>
    <n v="86875"/>
    <n v="896875"/>
    <n v="0"/>
    <s v="Soakoja"/>
    <n v="905934"/>
    <n v="135890"/>
    <x v="17"/>
    <x v="0"/>
    <x v="3"/>
    <x v="12"/>
  </r>
  <r>
    <x v="39"/>
    <s v="S40_2022_8"/>
    <x v="3"/>
    <s v="Maintenance"/>
    <x v="39"/>
    <s v="Nalaina"/>
    <x v="20"/>
    <x v="52"/>
    <x v="37"/>
    <d v="2022-07-26T00:00:00"/>
    <n v="820000"/>
    <n v="916035"/>
    <n v="916035"/>
    <n v="0"/>
    <n v="0"/>
    <n v="0"/>
    <n v="0"/>
    <n v="9160.35"/>
    <n v="86875"/>
    <n v="906875"/>
    <n v="2000"/>
    <s v="Soakoja"/>
    <n v="916035"/>
    <n v="137405"/>
    <x v="17"/>
    <x v="16"/>
    <x v="3"/>
    <x v="12"/>
  </r>
  <r>
    <x v="40"/>
    <s v="S41_2022_8"/>
    <x v="2"/>
    <s v="Transversal"/>
    <x v="40"/>
    <s v="Mimix"/>
    <x v="21"/>
    <x v="52"/>
    <x v="37"/>
    <d v="2022-03-24T00:00:00"/>
    <n v="550000"/>
    <n v="579323"/>
    <n v="579323"/>
    <n v="0"/>
    <n v="0"/>
    <n v="0"/>
    <n v="0"/>
    <n v="5793.23"/>
    <n v="23530"/>
    <n v="573530"/>
    <n v="0"/>
    <s v="Soakoja"/>
    <n v="579323"/>
    <n v="86898"/>
    <x v="18"/>
    <x v="17"/>
    <x v="3"/>
    <x v="12"/>
  </r>
  <r>
    <x v="41"/>
    <s v="S42_2022_8"/>
    <x v="3"/>
    <s v="Maintenance"/>
    <x v="41"/>
    <s v="Fifaliana"/>
    <x v="1"/>
    <x v="52"/>
    <x v="37"/>
    <d v="2022-08-25T00:00:00"/>
    <n v="9200"/>
    <n v="12373"/>
    <n v="12373"/>
    <n v="0"/>
    <n v="0"/>
    <n v="0"/>
    <n v="0"/>
    <n v="123.73"/>
    <n v="3000"/>
    <n v="12249"/>
    <n v="0"/>
    <s v="Soakoja"/>
    <n v="12373"/>
    <n v="1856"/>
    <x v="19"/>
    <x v="0"/>
    <x v="1"/>
    <x v="12"/>
  </r>
  <r>
    <x v="42"/>
    <s v="S43_2022_8"/>
    <x v="3"/>
    <s v="Maintenance"/>
    <x v="42"/>
    <s v="Hery"/>
    <x v="1"/>
    <x v="52"/>
    <x v="37"/>
    <d v="2022-08-25T00:00:00"/>
    <n v="9200"/>
    <n v="12373"/>
    <n v="12373"/>
    <n v="0"/>
    <n v="0"/>
    <n v="0"/>
    <n v="0"/>
    <n v="123.73"/>
    <n v="3000"/>
    <n v="12249"/>
    <n v="2000"/>
    <s v="Soakoja"/>
    <n v="12373"/>
    <n v="1856"/>
    <x v="19"/>
    <x v="0"/>
    <x v="1"/>
    <x v="12"/>
  </r>
  <r>
    <x v="43"/>
    <s v="S44_2022_8"/>
    <x v="2"/>
    <s v="Construction"/>
    <x v="43"/>
    <s v="Jean Christophe"/>
    <x v="5"/>
    <x v="52"/>
    <x v="37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18"/>
    <x v="1"/>
    <x v="12"/>
  </r>
  <r>
    <x v="44"/>
    <s v="S45_2022_8"/>
    <x v="2"/>
    <s v="Construction"/>
    <x v="44"/>
    <s v="Antonio"/>
    <x v="5"/>
    <x v="52"/>
    <x v="37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19"/>
    <x v="1"/>
    <x v="12"/>
  </r>
  <r>
    <x v="45"/>
    <s v="S46_2022_8"/>
    <x v="2"/>
    <s v="Maintenance"/>
    <x v="45"/>
    <s v="Angeliot"/>
    <x v="1"/>
    <x v="52"/>
    <x v="37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0"/>
    <x v="1"/>
    <x v="12"/>
  </r>
  <r>
    <x v="46"/>
    <s v="S47_2022_8"/>
    <x v="0"/>
    <s v="Construction"/>
    <x v="46"/>
    <s v="Dolin"/>
    <x v="5"/>
    <x v="52"/>
    <x v="37"/>
    <d v="2022-06-23T00:00:00"/>
    <n v="350000"/>
    <n v="356566"/>
    <n v="356566"/>
    <n v="0"/>
    <n v="0"/>
    <n v="0"/>
    <n v="0"/>
    <n v="3565.66"/>
    <n v="3000"/>
    <n v="353000"/>
    <n v="0"/>
    <s v="Soakoja"/>
    <n v="356566"/>
    <n v="53485"/>
    <x v="20"/>
    <x v="20"/>
    <x v="1"/>
    <x v="12"/>
  </r>
  <r>
    <x v="47"/>
    <s v="S48_2022_8"/>
    <x v="0"/>
    <s v="Maintenance"/>
    <x v="47"/>
    <s v="Seva Christophe"/>
    <x v="1"/>
    <x v="52"/>
    <x v="37"/>
    <d v="2022-06-23T00:00:00"/>
    <n v="350000"/>
    <n v="356566"/>
    <n v="356566"/>
    <n v="0"/>
    <n v="0"/>
    <n v="0"/>
    <n v="0"/>
    <n v="3565.66"/>
    <n v="3000"/>
    <n v="353000"/>
    <n v="2000"/>
    <s v="Soakoja"/>
    <n v="356566"/>
    <n v="53485"/>
    <x v="20"/>
    <x v="2"/>
    <x v="1"/>
    <x v="12"/>
  </r>
  <r>
    <x v="48"/>
    <s v="S49_2022_8"/>
    <x v="0"/>
    <s v="Maintenance"/>
    <x v="48"/>
    <s v="Jennio"/>
    <x v="1"/>
    <x v="52"/>
    <x v="37"/>
    <d v="2022-06-23T00:00:00"/>
    <n v="350000"/>
    <n v="356566"/>
    <n v="356566"/>
    <n v="0"/>
    <n v="0"/>
    <n v="0"/>
    <n v="0"/>
    <n v="3565.66"/>
    <n v="3000"/>
    <n v="353000"/>
    <n v="0"/>
    <s v="Soakoja"/>
    <n v="356566"/>
    <n v="53485"/>
    <x v="20"/>
    <x v="20"/>
    <x v="1"/>
    <x v="12"/>
  </r>
  <r>
    <x v="49"/>
    <s v="S50_2022_8"/>
    <x v="1"/>
    <s v="Transversal"/>
    <x v="49"/>
    <s v="Sandrine"/>
    <x v="22"/>
    <x v="52"/>
    <x v="37"/>
    <d v="2022-07-26T00:00:00"/>
    <n v="500000"/>
    <n v="517528"/>
    <n v="517528"/>
    <n v="0"/>
    <n v="0"/>
    <n v="0"/>
    <n v="0"/>
    <n v="5175.28"/>
    <n v="12353"/>
    <n v="512353"/>
    <n v="2000"/>
    <s v="Soakoja"/>
    <n v="517528"/>
    <n v="77629"/>
    <x v="21"/>
    <x v="0"/>
    <x v="1"/>
    <x v="12"/>
  </r>
  <r>
    <x v="51"/>
    <s v="S52_2022_8"/>
    <x v="2"/>
    <s v="Transversal"/>
    <x v="51"/>
    <s v="Zefania"/>
    <x v="3"/>
    <x v="52"/>
    <x v="37"/>
    <d v="2022-07-26T00:00:00"/>
    <n v="450000"/>
    <n v="460718"/>
    <n v="460718"/>
    <n v="0"/>
    <n v="0"/>
    <n v="0"/>
    <n v="0"/>
    <n v="4607.18"/>
    <n v="6111"/>
    <n v="456111"/>
    <n v="2000"/>
    <s v="Soakoja"/>
    <n v="460718"/>
    <n v="69108"/>
    <x v="23"/>
    <x v="22"/>
    <x v="1"/>
    <x v="12"/>
  </r>
  <r>
    <x v="0"/>
    <s v="S01_2022_9"/>
    <x v="0"/>
    <s v="Maintenance"/>
    <x v="0"/>
    <s v="Gaetan"/>
    <x v="0"/>
    <x v="53"/>
    <x v="38"/>
    <d v="2022-02-24T00:00:00"/>
    <n v="1100000"/>
    <n v="1264520"/>
    <n v="1264520"/>
    <n v="0"/>
    <n v="0"/>
    <n v="0"/>
    <n v="0"/>
    <n v="12645.2"/>
    <n v="151875"/>
    <n v="1251875"/>
    <n v="6000"/>
    <m/>
    <n v="1264520"/>
    <n v="189678"/>
    <x v="0"/>
    <x v="0"/>
    <x v="0"/>
    <x v="12"/>
  </r>
  <r>
    <x v="1"/>
    <s v="S02_2022_9"/>
    <x v="0"/>
    <s v="Maintenance"/>
    <x v="1"/>
    <s v="Luo"/>
    <x v="1"/>
    <x v="53"/>
    <x v="38"/>
    <d v="2022-02-24T00:00:00"/>
    <n v="480000"/>
    <n v="496633"/>
    <n v="496633"/>
    <n v="0"/>
    <n v="0"/>
    <n v="0"/>
    <n v="0"/>
    <n v="4966.33"/>
    <n v="11667"/>
    <n v="491667"/>
    <n v="0"/>
    <m/>
    <n v="496633"/>
    <n v="74495"/>
    <x v="0"/>
    <x v="1"/>
    <x v="1"/>
    <x v="12"/>
  </r>
  <r>
    <x v="2"/>
    <s v="S03_2022_9"/>
    <x v="0"/>
    <s v="Maintenance"/>
    <x v="2"/>
    <s v="Tsilavina"/>
    <x v="1"/>
    <x v="53"/>
    <x v="38"/>
    <d v="2022-02-24T00:00:00"/>
    <n v="442000"/>
    <n v="451739"/>
    <n v="451739"/>
    <n v="0"/>
    <n v="0"/>
    <n v="0"/>
    <n v="0"/>
    <n v="4517.3900000000003"/>
    <n v="5222"/>
    <n v="447222"/>
    <n v="2000"/>
    <m/>
    <n v="451739"/>
    <n v="67761"/>
    <x v="0"/>
    <x v="2"/>
    <x v="1"/>
    <x v="12"/>
  </r>
  <r>
    <x v="4"/>
    <s v="S05_2022_9"/>
    <x v="0"/>
    <s v="Transversal"/>
    <x v="4"/>
    <s v="Florentin"/>
    <x v="3"/>
    <x v="53"/>
    <x v="38"/>
    <d v="2022-02-24T00:00:00"/>
    <n v="592000"/>
    <n v="625631"/>
    <n v="625631"/>
    <n v="0"/>
    <n v="0"/>
    <n v="0"/>
    <n v="0"/>
    <n v="6256.31"/>
    <n v="27375"/>
    <n v="619375"/>
    <n v="4000"/>
    <m/>
    <n v="625631"/>
    <n v="93845"/>
    <x v="1"/>
    <x v="0"/>
    <x v="1"/>
    <x v="12"/>
  </r>
  <r>
    <x v="5"/>
    <s v="S06_2022_9"/>
    <x v="1"/>
    <s v="Transversal"/>
    <x v="5"/>
    <s v="Michel"/>
    <x v="4"/>
    <x v="53"/>
    <x v="38"/>
    <d v="2022-02-24T00:00:00"/>
    <n v="590000"/>
    <n v="620581"/>
    <n v="620581"/>
    <n v="0"/>
    <n v="0"/>
    <n v="0"/>
    <n v="0"/>
    <n v="6205.81"/>
    <n v="24375"/>
    <n v="614375"/>
    <n v="6000"/>
    <m/>
    <n v="620581"/>
    <n v="93087"/>
    <x v="1"/>
    <x v="1"/>
    <x v="2"/>
    <x v="12"/>
  </r>
  <r>
    <x v="7"/>
    <s v="S08_2022_9"/>
    <x v="0"/>
    <s v="Transversal"/>
    <x v="7"/>
    <s v="Onja"/>
    <x v="6"/>
    <x v="53"/>
    <x v="38"/>
    <d v="2022-02-24T00:00:00"/>
    <n v="890000"/>
    <n v="1006944"/>
    <n v="1006944"/>
    <n v="0"/>
    <n v="0"/>
    <n v="0"/>
    <n v="0"/>
    <n v="10069.44"/>
    <n v="106875"/>
    <n v="996875"/>
    <n v="0"/>
    <m/>
    <n v="1006944"/>
    <n v="151042"/>
    <x v="2"/>
    <x v="0"/>
    <x v="0"/>
    <x v="12"/>
  </r>
  <r>
    <x v="8"/>
    <s v="S09_2022_9"/>
    <x v="2"/>
    <s v="Maintenance"/>
    <x v="8"/>
    <s v="Rinon"/>
    <x v="1"/>
    <x v="53"/>
    <x v="38"/>
    <d v="2022-02-24T00:00:00"/>
    <n v="450000"/>
    <n v="458474"/>
    <n v="458474"/>
    <n v="0"/>
    <n v="0"/>
    <n v="0"/>
    <n v="0"/>
    <n v="4584.74"/>
    <n v="3889"/>
    <n v="453889"/>
    <n v="4000"/>
    <m/>
    <n v="458474"/>
    <n v="68771"/>
    <x v="1"/>
    <x v="1"/>
    <x v="1"/>
    <x v="12"/>
  </r>
  <r>
    <x v="9"/>
    <s v="S10_2022_9"/>
    <x v="2"/>
    <s v="Maintenance"/>
    <x v="9"/>
    <s v="Alain"/>
    <x v="7"/>
    <x v="53"/>
    <x v="38"/>
    <d v="2022-02-24T00:00:00"/>
    <n v="440000"/>
    <n v="449495"/>
    <n v="449495"/>
    <n v="0"/>
    <n v="0"/>
    <n v="0"/>
    <n v="0"/>
    <n v="4494.95"/>
    <n v="5000"/>
    <n v="445000"/>
    <n v="2000"/>
    <m/>
    <n v="449495"/>
    <n v="67424"/>
    <x v="1"/>
    <x v="0"/>
    <x v="3"/>
    <x v="12"/>
  </r>
  <r>
    <x v="10"/>
    <s v="S11_2022_9"/>
    <x v="0"/>
    <s v="Transversal"/>
    <x v="10"/>
    <s v="Raoul"/>
    <x v="8"/>
    <x v="53"/>
    <x v="38"/>
    <d v="2022-09-27T00:00:00"/>
    <n v="379500"/>
    <n v="332845"/>
    <n v="386356"/>
    <n v="24929"/>
    <n v="18994"/>
    <n v="0"/>
    <n v="7"/>
    <n v="3863.56"/>
    <n v="3000"/>
    <n v="382492"/>
    <n v="6000"/>
    <m/>
    <n v="386356"/>
    <n v="57953"/>
    <x v="1"/>
    <x v="0"/>
    <x v="4"/>
    <x v="12"/>
  </r>
  <r>
    <x v="11"/>
    <s v="S12_2022_9"/>
    <x v="0"/>
    <s v="Transversal"/>
    <x v="11"/>
    <s v="Benedictine"/>
    <x v="9"/>
    <x v="53"/>
    <x v="38"/>
    <d v="2022-02-24T00:00:00"/>
    <n v="95000"/>
    <n v="98990"/>
    <n v="98990"/>
    <n v="0"/>
    <n v="0"/>
    <n v="0"/>
    <n v="0"/>
    <n v="989.9"/>
    <n v="3000"/>
    <n v="98000"/>
    <n v="6000"/>
    <m/>
    <n v="98990"/>
    <n v="14849"/>
    <x v="1"/>
    <x v="0"/>
    <x v="5"/>
    <x v="12"/>
  </r>
  <r>
    <x v="12"/>
    <s v="S13_2022_9"/>
    <x v="1"/>
    <s v="Transversal"/>
    <x v="12"/>
    <s v="Herizo"/>
    <x v="10"/>
    <x v="53"/>
    <x v="38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2"/>
  </r>
  <r>
    <x v="13"/>
    <s v="S14_2022_9"/>
    <x v="0"/>
    <s v="Transversal"/>
    <x v="13"/>
    <s v="Rene"/>
    <x v="8"/>
    <x v="53"/>
    <x v="38"/>
    <d v="2022-09-27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2"/>
  </r>
  <r>
    <x v="14"/>
    <s v="S15_2022_9"/>
    <x v="2"/>
    <s v="Transversal"/>
    <x v="14"/>
    <s v="Chrisos"/>
    <x v="11"/>
    <x v="53"/>
    <x v="38"/>
    <d v="2022-02-24T00:00:00"/>
    <n v="1175000"/>
    <n v="1366793"/>
    <n v="1366793"/>
    <n v="0"/>
    <n v="0"/>
    <n v="0"/>
    <n v="0"/>
    <n v="13667.93"/>
    <n v="178125"/>
    <n v="1353125"/>
    <n v="0"/>
    <m/>
    <n v="1366793"/>
    <n v="205019"/>
    <x v="1"/>
    <x v="5"/>
    <x v="0"/>
    <x v="12"/>
  </r>
  <r>
    <x v="15"/>
    <s v="S16_2022_9"/>
    <x v="0"/>
    <s v="Maintenance"/>
    <x v="15"/>
    <s v="Victorien"/>
    <x v="7"/>
    <x v="53"/>
    <x v="38"/>
    <d v="2022-02-24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1"/>
    <x v="0"/>
    <x v="3"/>
    <x v="12"/>
  </r>
  <r>
    <x v="16"/>
    <s v="S17_2022_9"/>
    <x v="0"/>
    <s v="Transversal"/>
    <x v="16"/>
    <s v="Velonasy"/>
    <x v="8"/>
    <x v="53"/>
    <x v="38"/>
    <d v="2022-09-27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2"/>
  </r>
  <r>
    <x v="18"/>
    <s v="S19_2022_9"/>
    <x v="0"/>
    <s v="Maintenance"/>
    <x v="18"/>
    <s v="Faly"/>
    <x v="7"/>
    <x v="53"/>
    <x v="38"/>
    <d v="2022-02-24T00:00:00"/>
    <n v="702000"/>
    <n v="767045"/>
    <n v="767045"/>
    <n v="0"/>
    <n v="0"/>
    <n v="0"/>
    <n v="0"/>
    <n v="7670.45"/>
    <n v="57375"/>
    <n v="759375"/>
    <n v="2000"/>
    <m/>
    <n v="767045"/>
    <n v="115057"/>
    <x v="4"/>
    <x v="0"/>
    <x v="3"/>
    <x v="12"/>
  </r>
  <r>
    <x v="19"/>
    <s v="S20_2022_9"/>
    <x v="3"/>
    <s v="Maintenance"/>
    <x v="19"/>
    <s v="Manitrasina"/>
    <x v="1"/>
    <x v="53"/>
    <x v="38"/>
    <d v="2022-09-27T00:00:00"/>
    <n v="12300"/>
    <n v="15404"/>
    <n v="15404"/>
    <n v="0"/>
    <n v="0"/>
    <n v="0"/>
    <n v="0"/>
    <n v="154.04"/>
    <n v="3000"/>
    <n v="15250"/>
    <n v="2000"/>
    <m/>
    <n v="15404"/>
    <n v="2311"/>
    <x v="5"/>
    <x v="0"/>
    <x v="1"/>
    <x v="12"/>
  </r>
  <r>
    <x v="23"/>
    <s v="S24_2022_9"/>
    <x v="2"/>
    <s v="Transversal"/>
    <x v="23"/>
    <s v="Christophe"/>
    <x v="14"/>
    <x v="53"/>
    <x v="38"/>
    <d v="2022-05-25T00:00:00"/>
    <n v="650000"/>
    <n v="701389"/>
    <n v="701389"/>
    <n v="0"/>
    <n v="0"/>
    <n v="0"/>
    <n v="0"/>
    <n v="7013.89"/>
    <n v="44375"/>
    <n v="694375"/>
    <n v="2000"/>
    <m/>
    <n v="701389"/>
    <n v="105208"/>
    <x v="8"/>
    <x v="0"/>
    <x v="3"/>
    <x v="12"/>
  </r>
  <r>
    <x v="24"/>
    <s v="S25_2022_9"/>
    <x v="2"/>
    <s v="Maintenance"/>
    <x v="24"/>
    <s v="Doris"/>
    <x v="1"/>
    <x v="53"/>
    <x v="38"/>
    <d v="2022-02-24T00:00:00"/>
    <n v="527000"/>
    <n v="547237"/>
    <n v="547237"/>
    <n v="0"/>
    <n v="0"/>
    <n v="0"/>
    <n v="0"/>
    <n v="5472.37"/>
    <n v="14765"/>
    <n v="541765"/>
    <n v="4000"/>
    <m/>
    <n v="547237"/>
    <n v="82086"/>
    <x v="8"/>
    <x v="1"/>
    <x v="1"/>
    <x v="12"/>
  </r>
  <r>
    <x v="25"/>
    <s v="S26_2022_9"/>
    <x v="0"/>
    <s v="Construction"/>
    <x v="25"/>
    <s v="Anicet"/>
    <x v="5"/>
    <x v="53"/>
    <x v="38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2"/>
  </r>
  <r>
    <x v="27"/>
    <s v="S28_2022_9"/>
    <x v="2"/>
    <s v="Construction"/>
    <x v="27"/>
    <s v="Rodin"/>
    <x v="1"/>
    <x v="53"/>
    <x v="38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2"/>
  </r>
  <r>
    <x v="29"/>
    <s v="S30_2022_9"/>
    <x v="2"/>
    <s v="Transversal"/>
    <x v="29"/>
    <s v="Marie Jeanne"/>
    <x v="9"/>
    <x v="53"/>
    <x v="38"/>
    <d v="2022-02-24T00:00:00"/>
    <n v="105000"/>
    <n v="109091"/>
    <n v="109091"/>
    <n v="0"/>
    <n v="0"/>
    <n v="0"/>
    <n v="0"/>
    <n v="1090.9100000000001"/>
    <n v="3000"/>
    <n v="108000"/>
    <n v="6000"/>
    <m/>
    <n v="109091"/>
    <n v="16364"/>
    <x v="8"/>
    <x v="0"/>
    <x v="5"/>
    <x v="12"/>
  </r>
  <r>
    <x v="31"/>
    <s v="S32_2022_9"/>
    <x v="0"/>
    <s v="Maintenance"/>
    <x v="31"/>
    <s v="Francot"/>
    <x v="1"/>
    <x v="53"/>
    <x v="38"/>
    <d v="2022-02-24T00:00:00"/>
    <n v="360000"/>
    <n v="366667"/>
    <n v="366667"/>
    <n v="0"/>
    <n v="0"/>
    <n v="0"/>
    <n v="0"/>
    <n v="3666.67"/>
    <n v="3000"/>
    <n v="363000"/>
    <n v="2000"/>
    <m/>
    <n v="366667"/>
    <n v="55000"/>
    <x v="10"/>
    <x v="12"/>
    <x v="1"/>
    <x v="12"/>
  </r>
  <r>
    <x v="32"/>
    <s v="S33_2022_9"/>
    <x v="0"/>
    <s v="Maintenance"/>
    <x v="32"/>
    <s v="Perolin"/>
    <x v="1"/>
    <x v="53"/>
    <x v="38"/>
    <d v="2022-02-24T00:00:00"/>
    <n v="350000"/>
    <n v="356566"/>
    <n v="356566"/>
    <n v="0"/>
    <n v="0"/>
    <n v="0"/>
    <n v="0"/>
    <n v="3565.66"/>
    <n v="3000"/>
    <n v="353000"/>
    <n v="2000"/>
    <m/>
    <n v="356566"/>
    <n v="53485"/>
    <x v="11"/>
    <x v="0"/>
    <x v="1"/>
    <x v="12"/>
  </r>
  <r>
    <x v="30"/>
    <s v="S31_2022_9"/>
    <x v="2"/>
    <s v="Maintenance"/>
    <x v="30"/>
    <s v="Fabiolain"/>
    <x v="1"/>
    <x v="53"/>
    <x v="38"/>
    <d v="2022-09-27T00:00:00"/>
    <e v="#REF!"/>
    <n v="12800"/>
    <e v="#REF!"/>
    <n v="0"/>
    <n v="0"/>
    <n v="0"/>
    <n v="0"/>
    <e v="#REF!"/>
    <e v="#REF!"/>
    <e v="#REF!"/>
    <n v="2000"/>
    <m/>
    <e v="#REF!"/>
    <e v="#REF!"/>
    <x v="9"/>
    <x v="11"/>
    <x v="1"/>
    <x v="12"/>
  </r>
  <r>
    <x v="33"/>
    <s v="S34_2022_9"/>
    <x v="1"/>
    <s v="Transversal"/>
    <x v="33"/>
    <s v="Valérie"/>
    <x v="16"/>
    <x v="53"/>
    <x v="38"/>
    <d v="2022-02-24T00:00:00"/>
    <n v="720000"/>
    <n v="784722"/>
    <n v="784722"/>
    <n v="0"/>
    <n v="0"/>
    <n v="0"/>
    <n v="0"/>
    <n v="7847.22"/>
    <n v="56875"/>
    <n v="776875"/>
    <n v="6000"/>
    <m/>
    <n v="784722"/>
    <n v="117708"/>
    <x v="12"/>
    <x v="0"/>
    <x v="0"/>
    <x v="12"/>
  </r>
  <r>
    <x v="35"/>
    <s v="S36_2022_9"/>
    <x v="2"/>
    <s v="Transversal"/>
    <x v="35"/>
    <s v="Judicaël"/>
    <x v="3"/>
    <x v="53"/>
    <x v="38"/>
    <d v="2022-09-27T00:00:00"/>
    <n v="13100"/>
    <n v="16250"/>
    <n v="16250"/>
    <n v="0"/>
    <n v="0"/>
    <n v="0"/>
    <n v="0"/>
    <n v="162.5"/>
    <n v="3000"/>
    <n v="16088"/>
    <n v="6000"/>
    <m/>
    <n v="16250"/>
    <n v="2438"/>
    <x v="14"/>
    <x v="14"/>
    <x v="1"/>
    <x v="12"/>
  </r>
  <r>
    <x v="37"/>
    <s v="S38_2022_9"/>
    <x v="2"/>
    <s v="Maintenance"/>
    <x v="37"/>
    <s v="Christian"/>
    <x v="7"/>
    <x v="53"/>
    <x v="38"/>
    <d v="2022-01-26T00:00:00"/>
    <n v="500000"/>
    <n v="519905"/>
    <n v="519905"/>
    <n v="0"/>
    <n v="0"/>
    <n v="0"/>
    <n v="0"/>
    <n v="5199.05"/>
    <n v="14706"/>
    <n v="514706"/>
    <n v="0"/>
    <m/>
    <n v="519905"/>
    <n v="77986"/>
    <x v="16"/>
    <x v="0"/>
    <x v="3"/>
    <x v="12"/>
  </r>
  <r>
    <x v="38"/>
    <s v="S39_2022_9"/>
    <x v="3"/>
    <s v="Maintenance"/>
    <x v="38"/>
    <s v="Lydie"/>
    <x v="19"/>
    <x v="53"/>
    <x v="38"/>
    <d v="2022-07-26T00:00:00"/>
    <n v="810000"/>
    <n v="905934"/>
    <n v="905934"/>
    <n v="0"/>
    <n v="0"/>
    <n v="0"/>
    <n v="0"/>
    <n v="9059.34"/>
    <n v="86875"/>
    <n v="896875"/>
    <n v="0"/>
    <m/>
    <n v="905934"/>
    <n v="135890"/>
    <x v="17"/>
    <x v="0"/>
    <x v="3"/>
    <x v="12"/>
  </r>
  <r>
    <x v="39"/>
    <s v="S40_2022_9"/>
    <x v="3"/>
    <s v="Maintenance"/>
    <x v="39"/>
    <s v="Nalaina"/>
    <x v="20"/>
    <x v="53"/>
    <x v="38"/>
    <d v="2022-07-26T00:00:00"/>
    <n v="820000"/>
    <n v="916035"/>
    <n v="916035"/>
    <n v="0"/>
    <n v="0"/>
    <n v="0"/>
    <n v="0"/>
    <n v="9160.35"/>
    <n v="86875"/>
    <n v="906875"/>
    <n v="2000"/>
    <m/>
    <n v="916035"/>
    <n v="137405"/>
    <x v="17"/>
    <x v="16"/>
    <x v="3"/>
    <x v="12"/>
  </r>
  <r>
    <x v="40"/>
    <s v="S41_2022_9"/>
    <x v="2"/>
    <s v="Transversal"/>
    <x v="40"/>
    <s v="Mimix"/>
    <x v="21"/>
    <x v="53"/>
    <x v="38"/>
    <d v="2022-03-24T00:00:00"/>
    <n v="550000"/>
    <n v="579323"/>
    <n v="579323"/>
    <n v="0"/>
    <n v="0"/>
    <n v="0"/>
    <n v="0"/>
    <n v="5793.23"/>
    <n v="23530"/>
    <n v="573530"/>
    <n v="0"/>
    <m/>
    <n v="579323"/>
    <n v="86898"/>
    <x v="18"/>
    <x v="17"/>
    <x v="3"/>
    <x v="12"/>
  </r>
  <r>
    <x v="41"/>
    <s v="S42_2022_9"/>
    <x v="3"/>
    <s v="Maintenance"/>
    <x v="41"/>
    <s v="Fifaliana"/>
    <x v="1"/>
    <x v="53"/>
    <x v="38"/>
    <d v="2022-09-27T00:00:00"/>
    <n v="9200"/>
    <n v="12373"/>
    <n v="12373"/>
    <n v="0"/>
    <n v="0"/>
    <n v="0"/>
    <n v="0"/>
    <n v="123.73"/>
    <n v="3000"/>
    <n v="12249"/>
    <n v="0"/>
    <m/>
    <n v="12373"/>
    <n v="1856"/>
    <x v="19"/>
    <x v="0"/>
    <x v="1"/>
    <x v="12"/>
  </r>
  <r>
    <x v="42"/>
    <s v="S43_2022_9"/>
    <x v="3"/>
    <s v="Maintenance"/>
    <x v="42"/>
    <s v="Hery"/>
    <x v="1"/>
    <x v="53"/>
    <x v="38"/>
    <d v="2022-09-27T00:00:00"/>
    <n v="9200"/>
    <n v="12373"/>
    <n v="12373"/>
    <n v="0"/>
    <n v="0"/>
    <n v="0"/>
    <n v="0"/>
    <n v="123.73"/>
    <n v="3000"/>
    <n v="12249"/>
    <n v="2000"/>
    <m/>
    <n v="12373"/>
    <n v="1856"/>
    <x v="19"/>
    <x v="0"/>
    <x v="1"/>
    <x v="12"/>
  </r>
  <r>
    <x v="43"/>
    <s v="S44_2022_9"/>
    <x v="2"/>
    <s v="Construction"/>
    <x v="43"/>
    <s v="Jean Christophe"/>
    <x v="5"/>
    <x v="53"/>
    <x v="38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8"/>
    <x v="1"/>
    <x v="12"/>
  </r>
  <r>
    <x v="44"/>
    <s v="S45_2022_9"/>
    <x v="2"/>
    <s v="Construction"/>
    <x v="44"/>
    <s v="Antonio"/>
    <x v="5"/>
    <x v="53"/>
    <x v="38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9"/>
    <x v="1"/>
    <x v="12"/>
  </r>
  <r>
    <x v="45"/>
    <s v="S46_2022_9"/>
    <x v="2"/>
    <s v="Maintenance"/>
    <x v="45"/>
    <s v="Angeliot"/>
    <x v="1"/>
    <x v="53"/>
    <x v="38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0"/>
    <x v="1"/>
    <x v="12"/>
  </r>
  <r>
    <x v="46"/>
    <s v="S47_2022_9"/>
    <x v="0"/>
    <s v="Construction"/>
    <x v="46"/>
    <s v="Dolin"/>
    <x v="5"/>
    <x v="53"/>
    <x v="38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2"/>
  </r>
  <r>
    <x v="47"/>
    <s v="S48_2022_9"/>
    <x v="0"/>
    <s v="Maintenance"/>
    <x v="47"/>
    <s v="Seva Christophe"/>
    <x v="1"/>
    <x v="53"/>
    <x v="38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2"/>
    <x v="1"/>
    <x v="12"/>
  </r>
  <r>
    <x v="48"/>
    <s v="S49_2022_9"/>
    <x v="0"/>
    <s v="Maintenance"/>
    <x v="48"/>
    <s v="Jennio"/>
    <x v="1"/>
    <x v="53"/>
    <x v="38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2"/>
  </r>
  <r>
    <x v="49"/>
    <s v="S50_2022_9"/>
    <x v="1"/>
    <s v="Transversal"/>
    <x v="49"/>
    <s v="Sandrine"/>
    <x v="22"/>
    <x v="53"/>
    <x v="38"/>
    <d v="2022-07-26T00:00:00"/>
    <n v="500000"/>
    <n v="517528"/>
    <n v="517528"/>
    <n v="0"/>
    <n v="0"/>
    <n v="0"/>
    <n v="0"/>
    <n v="5175.28"/>
    <n v="12353"/>
    <n v="512353"/>
    <n v="2000"/>
    <m/>
    <n v="517528"/>
    <n v="77629"/>
    <x v="21"/>
    <x v="0"/>
    <x v="1"/>
    <x v="12"/>
  </r>
  <r>
    <x v="51"/>
    <s v="S52_2022_9"/>
    <x v="2"/>
    <s v="Transversal"/>
    <x v="51"/>
    <s v="Zefania"/>
    <x v="3"/>
    <x v="53"/>
    <x v="38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2"/>
  </r>
  <r>
    <x v="52"/>
    <s v="S53_2022_9"/>
    <x v="2"/>
    <s v="Maintenance"/>
    <x v="52"/>
    <s v="Ginot"/>
    <x v="1"/>
    <x v="53"/>
    <x v="38"/>
    <d v="2022-09-27T00:00:00"/>
    <e v="#REF!"/>
    <n v="356566"/>
    <e v="#REF!"/>
    <n v="0"/>
    <n v="0"/>
    <n v="0"/>
    <n v="0"/>
    <e v="#REF!"/>
    <e v="#REF!"/>
    <e v="#REF!"/>
    <n v="0"/>
    <m/>
    <e v="#REF!"/>
    <e v="#REF!"/>
    <x v="24"/>
    <x v="0"/>
    <x v="1"/>
    <x v="12"/>
  </r>
  <r>
    <x v="0"/>
    <s v="S01_2022_10"/>
    <x v="0"/>
    <s v="Maintenance"/>
    <x v="0"/>
    <s v="Gaetan"/>
    <x v="0"/>
    <x v="54"/>
    <x v="39"/>
    <d v="2022-02-24T00:00:00"/>
    <n v="1100000"/>
    <n v="1264520"/>
    <n v="1264520"/>
    <n v="0"/>
    <n v="0"/>
    <n v="0"/>
    <n v="0"/>
    <n v="12645.2"/>
    <n v="151875"/>
    <n v="1251875"/>
    <n v="6000"/>
    <m/>
    <n v="1264520"/>
    <n v="189678"/>
    <x v="0"/>
    <x v="0"/>
    <x v="0"/>
    <x v="13"/>
  </r>
  <r>
    <x v="1"/>
    <s v="S02_2022_10"/>
    <x v="0"/>
    <s v="Maintenance"/>
    <x v="1"/>
    <s v="Luo"/>
    <x v="1"/>
    <x v="54"/>
    <x v="39"/>
    <d v="2022-02-24T00:00:00"/>
    <n v="480000"/>
    <n v="496633"/>
    <n v="496633"/>
    <n v="0"/>
    <n v="0"/>
    <n v="0"/>
    <n v="0"/>
    <n v="4966.33"/>
    <n v="11667"/>
    <n v="491667"/>
    <n v="0"/>
    <m/>
    <n v="496633"/>
    <n v="74495"/>
    <x v="0"/>
    <x v="1"/>
    <x v="1"/>
    <x v="13"/>
  </r>
  <r>
    <x v="2"/>
    <s v="S03_2022_10"/>
    <x v="0"/>
    <s v="Maintenance"/>
    <x v="2"/>
    <s v="Tsilavina"/>
    <x v="1"/>
    <x v="54"/>
    <x v="39"/>
    <d v="2022-02-24T00:00:00"/>
    <n v="442000"/>
    <n v="451739"/>
    <n v="451739"/>
    <n v="0"/>
    <n v="0"/>
    <n v="0"/>
    <n v="0"/>
    <n v="4517.3900000000003"/>
    <n v="5222"/>
    <n v="447222"/>
    <n v="2000"/>
    <m/>
    <n v="451739"/>
    <n v="67761"/>
    <x v="0"/>
    <x v="2"/>
    <x v="1"/>
    <x v="13"/>
  </r>
  <r>
    <x v="4"/>
    <s v="S05_2022_10"/>
    <x v="0"/>
    <s v="Transversal"/>
    <x v="4"/>
    <s v="Florentin"/>
    <x v="3"/>
    <x v="54"/>
    <x v="39"/>
    <d v="2022-02-24T00:00:00"/>
    <n v="592000"/>
    <n v="625631"/>
    <n v="625631"/>
    <n v="0"/>
    <n v="0"/>
    <n v="0"/>
    <n v="0"/>
    <n v="6256.31"/>
    <n v="27375"/>
    <n v="619375"/>
    <n v="4000"/>
    <m/>
    <n v="625631"/>
    <n v="93845"/>
    <x v="1"/>
    <x v="0"/>
    <x v="1"/>
    <x v="13"/>
  </r>
  <r>
    <x v="5"/>
    <s v="S06_2022_10"/>
    <x v="1"/>
    <s v="Transversal"/>
    <x v="5"/>
    <s v="Michel"/>
    <x v="4"/>
    <x v="54"/>
    <x v="39"/>
    <d v="2022-02-24T00:00:00"/>
    <n v="590000"/>
    <n v="620581"/>
    <n v="620581"/>
    <n v="0"/>
    <n v="0"/>
    <n v="0"/>
    <n v="0"/>
    <n v="6205.81"/>
    <n v="24375"/>
    <n v="614375"/>
    <n v="6000"/>
    <m/>
    <n v="620581"/>
    <n v="93087"/>
    <x v="1"/>
    <x v="1"/>
    <x v="2"/>
    <x v="13"/>
  </r>
  <r>
    <x v="7"/>
    <s v="S08_2022_10"/>
    <x v="0"/>
    <s v="Transversal"/>
    <x v="7"/>
    <s v="Onja"/>
    <x v="6"/>
    <x v="54"/>
    <x v="39"/>
    <d v="2022-02-24T00:00:00"/>
    <n v="890000"/>
    <n v="1006944"/>
    <n v="1006944"/>
    <n v="0"/>
    <n v="0"/>
    <n v="0"/>
    <n v="0"/>
    <n v="10069.44"/>
    <n v="106875"/>
    <n v="996875"/>
    <n v="0"/>
    <m/>
    <n v="1006944"/>
    <n v="151042"/>
    <x v="2"/>
    <x v="0"/>
    <x v="0"/>
    <x v="13"/>
  </r>
  <r>
    <x v="8"/>
    <s v="S09_2022_10"/>
    <x v="2"/>
    <s v="Maintenance"/>
    <x v="8"/>
    <s v="Rinon"/>
    <x v="1"/>
    <x v="54"/>
    <x v="39"/>
    <d v="2022-02-24T00:00:00"/>
    <n v="450000"/>
    <n v="458474"/>
    <n v="458474"/>
    <n v="0"/>
    <n v="0"/>
    <n v="0"/>
    <n v="0"/>
    <n v="4584.74"/>
    <n v="3889"/>
    <n v="453889"/>
    <n v="4000"/>
    <m/>
    <n v="458474"/>
    <n v="68771"/>
    <x v="1"/>
    <x v="1"/>
    <x v="1"/>
    <x v="13"/>
  </r>
  <r>
    <x v="9"/>
    <s v="S10_2022_10"/>
    <x v="2"/>
    <s v="Maintenance"/>
    <x v="9"/>
    <s v="Alain"/>
    <x v="7"/>
    <x v="54"/>
    <x v="39"/>
    <d v="2022-02-24T00:00:00"/>
    <n v="440000"/>
    <n v="449495"/>
    <n v="449495"/>
    <n v="0"/>
    <n v="0"/>
    <n v="0"/>
    <n v="0"/>
    <n v="4494.95"/>
    <n v="5000"/>
    <n v="445000"/>
    <n v="2000"/>
    <m/>
    <n v="449495"/>
    <n v="67424"/>
    <x v="1"/>
    <x v="0"/>
    <x v="3"/>
    <x v="13"/>
  </r>
  <r>
    <x v="10"/>
    <s v="S11_2022_10"/>
    <x v="0"/>
    <s v="Transversal"/>
    <x v="10"/>
    <s v="Raoul"/>
    <x v="8"/>
    <x v="54"/>
    <x v="39"/>
    <d v="2022-10-27T00:00:00"/>
    <n v="450000"/>
    <n v="332845"/>
    <n v="457582"/>
    <n v="24929"/>
    <n v="18994"/>
    <n v="0"/>
    <n v="59"/>
    <n v="4575.82"/>
    <n v="3000"/>
    <n v="453006"/>
    <n v="6000"/>
    <m/>
    <n v="457582"/>
    <n v="68637"/>
    <x v="1"/>
    <x v="0"/>
    <x v="4"/>
    <x v="13"/>
  </r>
  <r>
    <x v="11"/>
    <s v="S12_2022_10"/>
    <x v="0"/>
    <s v="Transversal"/>
    <x v="11"/>
    <s v="Benedictine"/>
    <x v="9"/>
    <x v="54"/>
    <x v="39"/>
    <d v="2022-02-24T00:00:00"/>
    <n v="95000"/>
    <n v="98990"/>
    <n v="98990"/>
    <n v="0"/>
    <n v="0"/>
    <n v="0"/>
    <n v="0"/>
    <n v="989.9"/>
    <n v="3000"/>
    <n v="98000"/>
    <n v="6000"/>
    <m/>
    <n v="98990"/>
    <n v="14849"/>
    <x v="1"/>
    <x v="0"/>
    <x v="5"/>
    <x v="13"/>
  </r>
  <r>
    <x v="12"/>
    <s v="S13_2022_10"/>
    <x v="1"/>
    <s v="Transversal"/>
    <x v="12"/>
    <s v="Herizo"/>
    <x v="10"/>
    <x v="54"/>
    <x v="39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3"/>
  </r>
  <r>
    <x v="13"/>
    <s v="S14_2022_10"/>
    <x v="0"/>
    <s v="Transversal"/>
    <x v="13"/>
    <s v="Rene"/>
    <x v="8"/>
    <x v="54"/>
    <x v="39"/>
    <d v="2022-10-27T00:00:00"/>
    <n v="444600"/>
    <n v="332845"/>
    <n v="452103"/>
    <n v="24929"/>
    <n v="18994"/>
    <n v="0"/>
    <n v="55"/>
    <n v="4521.03"/>
    <n v="3000"/>
    <n v="447582"/>
    <n v="8000"/>
    <m/>
    <n v="452103"/>
    <n v="67815"/>
    <x v="1"/>
    <x v="0"/>
    <x v="4"/>
    <x v="13"/>
  </r>
  <r>
    <x v="14"/>
    <s v="S15_2022_10"/>
    <x v="2"/>
    <s v="Transversal"/>
    <x v="14"/>
    <s v="Chrisos"/>
    <x v="11"/>
    <x v="54"/>
    <x v="39"/>
    <d v="2022-02-24T00:00:00"/>
    <n v="1175000"/>
    <n v="1366793"/>
    <n v="1366793"/>
    <n v="0"/>
    <n v="0"/>
    <n v="0"/>
    <n v="0"/>
    <n v="13667.93"/>
    <n v="178125"/>
    <n v="1353125"/>
    <n v="0"/>
    <m/>
    <n v="1366793"/>
    <n v="205019"/>
    <x v="1"/>
    <x v="5"/>
    <x v="0"/>
    <x v="13"/>
  </r>
  <r>
    <x v="15"/>
    <s v="S16_2022_10"/>
    <x v="0"/>
    <s v="Maintenance"/>
    <x v="15"/>
    <s v="Victorien"/>
    <x v="7"/>
    <x v="54"/>
    <x v="39"/>
    <d v="2022-02-24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1"/>
    <x v="0"/>
    <x v="3"/>
    <x v="13"/>
  </r>
  <r>
    <x v="16"/>
    <s v="S17_2022_10"/>
    <x v="0"/>
    <s v="Transversal"/>
    <x v="16"/>
    <s v="Velonasy"/>
    <x v="8"/>
    <x v="54"/>
    <x v="39"/>
    <d v="2022-10-27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3"/>
  </r>
  <r>
    <x v="18"/>
    <s v="S19_2022_10"/>
    <x v="0"/>
    <s v="Maintenance"/>
    <x v="18"/>
    <s v="Faly"/>
    <x v="7"/>
    <x v="54"/>
    <x v="39"/>
    <d v="2022-02-24T00:00:00"/>
    <n v="702000"/>
    <n v="767045"/>
    <n v="767045"/>
    <n v="0"/>
    <n v="0"/>
    <n v="0"/>
    <n v="0"/>
    <n v="7670.45"/>
    <n v="57375"/>
    <n v="759375"/>
    <n v="2000"/>
    <m/>
    <n v="767045"/>
    <n v="115057"/>
    <x v="4"/>
    <x v="0"/>
    <x v="3"/>
    <x v="13"/>
  </r>
  <r>
    <x v="19"/>
    <s v="S20_2022_10"/>
    <x v="3"/>
    <s v="Maintenance"/>
    <x v="19"/>
    <s v="Manitrasina"/>
    <x v="1"/>
    <x v="54"/>
    <x v="39"/>
    <d v="2022-10-27T00:00:00"/>
    <n v="12300"/>
    <n v="15404"/>
    <n v="15404"/>
    <n v="0"/>
    <n v="0"/>
    <n v="0"/>
    <n v="0"/>
    <n v="154.04"/>
    <n v="3000"/>
    <n v="15250"/>
    <n v="2000"/>
    <m/>
    <n v="15404"/>
    <n v="2311"/>
    <x v="5"/>
    <x v="0"/>
    <x v="1"/>
    <x v="13"/>
  </r>
  <r>
    <x v="23"/>
    <s v="S24_2022_10"/>
    <x v="2"/>
    <s v="Transversal"/>
    <x v="23"/>
    <s v="Christophe"/>
    <x v="14"/>
    <x v="54"/>
    <x v="39"/>
    <d v="2022-05-25T00:00:00"/>
    <n v="650000"/>
    <n v="701389"/>
    <n v="701389"/>
    <n v="0"/>
    <n v="0"/>
    <n v="0"/>
    <n v="0"/>
    <n v="7013.89"/>
    <n v="44375"/>
    <n v="694375"/>
    <n v="2000"/>
    <m/>
    <n v="701389"/>
    <n v="105208"/>
    <x v="8"/>
    <x v="0"/>
    <x v="3"/>
    <x v="13"/>
  </r>
  <r>
    <x v="24"/>
    <s v="S25_2022_10"/>
    <x v="2"/>
    <s v="Maintenance"/>
    <x v="24"/>
    <s v="Doris"/>
    <x v="1"/>
    <x v="54"/>
    <x v="39"/>
    <d v="2022-02-24T00:00:00"/>
    <n v="527000"/>
    <n v="547237"/>
    <n v="547237"/>
    <n v="0"/>
    <n v="0"/>
    <n v="0"/>
    <n v="0"/>
    <n v="5472.37"/>
    <n v="14765"/>
    <n v="541765"/>
    <n v="4000"/>
    <m/>
    <n v="547237"/>
    <n v="82086"/>
    <x v="8"/>
    <x v="1"/>
    <x v="1"/>
    <x v="13"/>
  </r>
  <r>
    <x v="25"/>
    <s v="S26_2022_10"/>
    <x v="0"/>
    <s v="Construction"/>
    <x v="25"/>
    <s v="Anicet"/>
    <x v="5"/>
    <x v="54"/>
    <x v="39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3"/>
  </r>
  <r>
    <x v="27"/>
    <s v="S28_2022_10"/>
    <x v="2"/>
    <s v="Construction"/>
    <x v="27"/>
    <s v="Rodin"/>
    <x v="1"/>
    <x v="54"/>
    <x v="39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3"/>
  </r>
  <r>
    <x v="29"/>
    <s v="S30_2022_10"/>
    <x v="2"/>
    <s v="Transversal"/>
    <x v="29"/>
    <s v="Marie Jeanne"/>
    <x v="9"/>
    <x v="54"/>
    <x v="39"/>
    <d v="2022-02-24T00:00:00"/>
    <n v="105000"/>
    <n v="109091"/>
    <n v="109091"/>
    <n v="0"/>
    <n v="0"/>
    <n v="0"/>
    <n v="0"/>
    <n v="1090.9100000000001"/>
    <n v="3000"/>
    <n v="108000"/>
    <n v="6000"/>
    <m/>
    <n v="109091"/>
    <n v="16364"/>
    <x v="8"/>
    <x v="0"/>
    <x v="5"/>
    <x v="13"/>
  </r>
  <r>
    <x v="31"/>
    <s v="S32_2022_10"/>
    <x v="0"/>
    <s v="Maintenance"/>
    <x v="31"/>
    <s v="Francot"/>
    <x v="1"/>
    <x v="54"/>
    <x v="39"/>
    <d v="2022-02-24T00:00:00"/>
    <n v="360000"/>
    <n v="366667"/>
    <n v="366667"/>
    <n v="0"/>
    <n v="0"/>
    <n v="0"/>
    <n v="0"/>
    <n v="3666.67"/>
    <n v="3000"/>
    <n v="363000"/>
    <n v="2000"/>
    <m/>
    <n v="366667"/>
    <n v="55000"/>
    <x v="10"/>
    <x v="12"/>
    <x v="1"/>
    <x v="13"/>
  </r>
  <r>
    <x v="32"/>
    <s v="S33_2022_10"/>
    <x v="0"/>
    <s v="Maintenance"/>
    <x v="32"/>
    <s v="Perolin"/>
    <x v="1"/>
    <x v="54"/>
    <x v="39"/>
    <d v="2022-02-24T00:00:00"/>
    <n v="350000"/>
    <n v="356566"/>
    <n v="356566"/>
    <n v="0"/>
    <n v="0"/>
    <n v="0"/>
    <n v="0"/>
    <n v="3565.66"/>
    <n v="3000"/>
    <n v="353000"/>
    <n v="2000"/>
    <m/>
    <n v="356566"/>
    <n v="53485"/>
    <x v="11"/>
    <x v="0"/>
    <x v="1"/>
    <x v="13"/>
  </r>
  <r>
    <x v="30"/>
    <s v="S31_2022_10"/>
    <x v="2"/>
    <s v="Maintenance"/>
    <x v="30"/>
    <s v="Fabiolain"/>
    <x v="1"/>
    <x v="54"/>
    <x v="39"/>
    <d v="2022-08-25T00:00:00"/>
    <e v="#REF!"/>
    <n v="12800"/>
    <e v="#REF!"/>
    <n v="0"/>
    <n v="0"/>
    <n v="0"/>
    <n v="0"/>
    <e v="#REF!"/>
    <e v="#REF!"/>
    <e v="#REF!"/>
    <n v="2000"/>
    <m/>
    <e v="#REF!"/>
    <e v="#REF!"/>
    <x v="9"/>
    <x v="11"/>
    <x v="1"/>
    <x v="13"/>
  </r>
  <r>
    <x v="33"/>
    <s v="S34_2022_10"/>
    <x v="1"/>
    <s v="Transversal"/>
    <x v="33"/>
    <s v="Valérie"/>
    <x v="16"/>
    <x v="54"/>
    <x v="39"/>
    <d v="2022-02-24T00:00:00"/>
    <n v="720000"/>
    <n v="784722"/>
    <n v="784722"/>
    <n v="0"/>
    <n v="0"/>
    <n v="0"/>
    <n v="0"/>
    <n v="7847.22"/>
    <n v="56875"/>
    <n v="776875"/>
    <n v="6000"/>
    <m/>
    <n v="784722"/>
    <n v="117708"/>
    <x v="12"/>
    <x v="0"/>
    <x v="0"/>
    <x v="13"/>
  </r>
  <r>
    <x v="35"/>
    <s v="S36_2022_10"/>
    <x v="2"/>
    <s v="Transversal"/>
    <x v="35"/>
    <s v="Judicaël"/>
    <x v="3"/>
    <x v="54"/>
    <x v="39"/>
    <d v="2022-10-27T00:00:00"/>
    <n v="13100"/>
    <n v="16250"/>
    <n v="16250"/>
    <n v="0"/>
    <n v="0"/>
    <n v="0"/>
    <n v="0"/>
    <n v="162.5"/>
    <n v="3000"/>
    <n v="16088"/>
    <n v="6000"/>
    <m/>
    <n v="16250"/>
    <n v="2438"/>
    <x v="14"/>
    <x v="14"/>
    <x v="1"/>
    <x v="13"/>
  </r>
  <r>
    <x v="37"/>
    <s v="S38_2022_10"/>
    <x v="2"/>
    <s v="Maintenance"/>
    <x v="37"/>
    <s v="Christian"/>
    <x v="7"/>
    <x v="54"/>
    <x v="39"/>
    <d v="2022-01-26T00:00:00"/>
    <n v="500000"/>
    <n v="519905"/>
    <n v="519905"/>
    <n v="0"/>
    <n v="0"/>
    <n v="0"/>
    <n v="0"/>
    <n v="5199.05"/>
    <n v="14706"/>
    <n v="514706"/>
    <n v="0"/>
    <m/>
    <n v="519905"/>
    <n v="77986"/>
    <x v="16"/>
    <x v="0"/>
    <x v="3"/>
    <x v="13"/>
  </r>
  <r>
    <x v="38"/>
    <s v="S39_2022_10"/>
    <x v="3"/>
    <s v="Maintenance"/>
    <x v="38"/>
    <s v="Lydie"/>
    <x v="19"/>
    <x v="54"/>
    <x v="39"/>
    <d v="2022-07-26T00:00:00"/>
    <n v="810000"/>
    <n v="905934"/>
    <n v="905934"/>
    <n v="0"/>
    <n v="0"/>
    <n v="0"/>
    <n v="0"/>
    <n v="9059.34"/>
    <n v="86875"/>
    <n v="896875"/>
    <n v="0"/>
    <m/>
    <n v="905934"/>
    <n v="135890"/>
    <x v="17"/>
    <x v="0"/>
    <x v="3"/>
    <x v="13"/>
  </r>
  <r>
    <x v="39"/>
    <s v="S40_2022_10"/>
    <x v="3"/>
    <s v="Maintenance"/>
    <x v="39"/>
    <s v="Nalaina"/>
    <x v="20"/>
    <x v="54"/>
    <x v="39"/>
    <d v="2022-07-26T00:00:00"/>
    <n v="820000"/>
    <n v="916035"/>
    <n v="916035"/>
    <n v="0"/>
    <n v="0"/>
    <n v="0"/>
    <n v="0"/>
    <n v="9160.35"/>
    <n v="86875"/>
    <n v="906875"/>
    <n v="2000"/>
    <m/>
    <n v="916035"/>
    <n v="137405"/>
    <x v="17"/>
    <x v="16"/>
    <x v="3"/>
    <x v="13"/>
  </r>
  <r>
    <x v="40"/>
    <s v="S41_2022_10"/>
    <x v="2"/>
    <s v="Transversal"/>
    <x v="40"/>
    <s v="Mimix"/>
    <x v="21"/>
    <x v="54"/>
    <x v="39"/>
    <d v="2022-03-24T00:00:00"/>
    <n v="550000"/>
    <n v="579323"/>
    <n v="579323"/>
    <n v="0"/>
    <n v="0"/>
    <n v="0"/>
    <n v="0"/>
    <n v="5793.23"/>
    <n v="23530"/>
    <n v="573530"/>
    <n v="0"/>
    <m/>
    <n v="579323"/>
    <n v="86898"/>
    <x v="18"/>
    <x v="17"/>
    <x v="3"/>
    <x v="13"/>
  </r>
  <r>
    <x v="41"/>
    <s v="S42_2022_10"/>
    <x v="3"/>
    <s v="Maintenance"/>
    <x v="41"/>
    <s v="Fifaliana"/>
    <x v="1"/>
    <x v="54"/>
    <x v="39"/>
    <d v="2022-10-27T00:00:00"/>
    <n v="9200"/>
    <n v="12373"/>
    <n v="12373"/>
    <n v="0"/>
    <n v="0"/>
    <n v="0"/>
    <n v="0"/>
    <n v="123.73"/>
    <n v="3000"/>
    <n v="12249"/>
    <n v="0"/>
    <m/>
    <n v="12373"/>
    <n v="1856"/>
    <x v="19"/>
    <x v="0"/>
    <x v="1"/>
    <x v="13"/>
  </r>
  <r>
    <x v="42"/>
    <s v="S43_2022_10"/>
    <x v="3"/>
    <s v="Maintenance"/>
    <x v="42"/>
    <s v="Hery"/>
    <x v="1"/>
    <x v="54"/>
    <x v="39"/>
    <d v="2022-10-27T00:00:00"/>
    <n v="9200"/>
    <n v="12373"/>
    <n v="12373"/>
    <n v="0"/>
    <n v="0"/>
    <n v="0"/>
    <n v="0"/>
    <n v="123.73"/>
    <n v="3000"/>
    <n v="12249"/>
    <n v="2000"/>
    <m/>
    <n v="12373"/>
    <n v="1856"/>
    <x v="19"/>
    <x v="0"/>
    <x v="1"/>
    <x v="13"/>
  </r>
  <r>
    <x v="44"/>
    <s v="S45_2022_10"/>
    <x v="2"/>
    <s v="Construction"/>
    <x v="44"/>
    <s v="Antonio"/>
    <x v="5"/>
    <x v="54"/>
    <x v="39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9"/>
    <x v="1"/>
    <x v="13"/>
  </r>
  <r>
    <x v="45"/>
    <s v="S46_2022_10"/>
    <x v="2"/>
    <s v="Maintenance"/>
    <x v="45"/>
    <s v="Angeliot"/>
    <x v="1"/>
    <x v="54"/>
    <x v="39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0"/>
    <x v="1"/>
    <x v="13"/>
  </r>
  <r>
    <x v="46"/>
    <s v="S47_2022_10"/>
    <x v="0"/>
    <s v="Construction"/>
    <x v="46"/>
    <s v="Dolin"/>
    <x v="5"/>
    <x v="54"/>
    <x v="39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3"/>
  </r>
  <r>
    <x v="47"/>
    <s v="S48_2022_10"/>
    <x v="0"/>
    <s v="Maintenance"/>
    <x v="47"/>
    <s v="Seva Christophe"/>
    <x v="1"/>
    <x v="54"/>
    <x v="39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2"/>
    <x v="1"/>
    <x v="13"/>
  </r>
  <r>
    <x v="48"/>
    <s v="S49_2022_10"/>
    <x v="0"/>
    <s v="Maintenance"/>
    <x v="48"/>
    <s v="Jennio"/>
    <x v="1"/>
    <x v="54"/>
    <x v="39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3"/>
  </r>
  <r>
    <x v="53"/>
    <s v="S54_2022_10"/>
    <x v="0"/>
    <s v="Construction"/>
    <x v="53"/>
    <s v="Frida"/>
    <x v="24"/>
    <x v="54"/>
    <x v="39"/>
    <d v="2022-10-27T00:00:00"/>
    <n v="140000"/>
    <n v="144452"/>
    <n v="144452"/>
    <n v="0"/>
    <n v="0"/>
    <n v="0"/>
    <n v="0"/>
    <n v="1444.52"/>
    <n v="3000"/>
    <n v="143007"/>
    <n v="6000"/>
    <m/>
    <n v="144452"/>
    <n v="21668"/>
    <x v="25"/>
    <x v="0"/>
    <x v="1"/>
    <x v="13"/>
  </r>
  <r>
    <x v="49"/>
    <s v="S50_2022_10"/>
    <x v="1"/>
    <s v="Transversal"/>
    <x v="49"/>
    <s v="Sandrine"/>
    <x v="22"/>
    <x v="54"/>
    <x v="39"/>
    <d v="2022-07-26T00:00:00"/>
    <n v="500000"/>
    <n v="517528"/>
    <n v="517528"/>
    <n v="0"/>
    <n v="0"/>
    <n v="0"/>
    <n v="0"/>
    <n v="5175.28"/>
    <n v="12353"/>
    <n v="512353"/>
    <n v="2000"/>
    <m/>
    <n v="517528"/>
    <n v="77629"/>
    <x v="21"/>
    <x v="0"/>
    <x v="1"/>
    <x v="13"/>
  </r>
  <r>
    <x v="51"/>
    <s v="S52_2022_10"/>
    <x v="2"/>
    <s v="Transversal"/>
    <x v="51"/>
    <s v="Zefania"/>
    <x v="3"/>
    <x v="54"/>
    <x v="39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3"/>
  </r>
  <r>
    <x v="52"/>
    <s v="S53_2022_10"/>
    <x v="2"/>
    <s v="Maintenance"/>
    <x v="52"/>
    <s v="Ginot"/>
    <x v="1"/>
    <x v="54"/>
    <x v="39"/>
    <d v="2022-09-27T00:00:00"/>
    <e v="#REF!"/>
    <n v="356566"/>
    <e v="#REF!"/>
    <n v="0"/>
    <n v="0"/>
    <n v="0"/>
    <n v="0"/>
    <e v="#REF!"/>
    <e v="#REF!"/>
    <e v="#REF!"/>
    <n v="0"/>
    <m/>
    <e v="#REF!"/>
    <e v="#REF!"/>
    <x v="24"/>
    <x v="0"/>
    <x v="1"/>
    <x v="13"/>
  </r>
  <r>
    <x v="2"/>
    <s v="S03_2022_11"/>
    <x v="0"/>
    <s v="Maintenance"/>
    <x v="2"/>
    <s v="Tsilavina"/>
    <x v="1"/>
    <x v="55"/>
    <x v="40"/>
    <d v="2022-02-24T00:00:00"/>
    <n v="442000"/>
    <n v="451739"/>
    <n v="451739"/>
    <n v="0"/>
    <n v="0"/>
    <n v="0"/>
    <n v="0"/>
    <n v="4517.3900000000003"/>
    <n v="5222"/>
    <n v="447222"/>
    <n v="2000"/>
    <m/>
    <n v="451739"/>
    <n v="67761"/>
    <x v="0"/>
    <x v="2"/>
    <x v="1"/>
    <x v="13"/>
  </r>
  <r>
    <x v="29"/>
    <s v="S30_2022_11"/>
    <x v="2"/>
    <s v="Transversal"/>
    <x v="29"/>
    <s v="Marie Jeanne"/>
    <x v="9"/>
    <x v="55"/>
    <x v="40"/>
    <d v="2022-02-24T00:00:00"/>
    <n v="105000"/>
    <n v="109091"/>
    <n v="109091"/>
    <n v="0"/>
    <n v="0"/>
    <n v="0"/>
    <n v="0"/>
    <n v="1090.9100000000001"/>
    <n v="3000"/>
    <n v="108000"/>
    <n v="6000"/>
    <m/>
    <n v="109091"/>
    <n v="16364"/>
    <x v="8"/>
    <x v="0"/>
    <x v="5"/>
    <x v="13"/>
  </r>
  <r>
    <x v="23"/>
    <s v="S24_2022_11"/>
    <x v="2"/>
    <s v="Transversal"/>
    <x v="23"/>
    <s v="Christophe"/>
    <x v="14"/>
    <x v="55"/>
    <x v="40"/>
    <d v="2022-05-25T00:00:00"/>
    <n v="650000"/>
    <n v="701389"/>
    <n v="701389"/>
    <n v="0"/>
    <n v="0"/>
    <n v="0"/>
    <n v="0"/>
    <n v="7013.89"/>
    <n v="44375"/>
    <n v="694375"/>
    <n v="2000"/>
    <m/>
    <n v="701389"/>
    <n v="105208"/>
    <x v="8"/>
    <x v="0"/>
    <x v="3"/>
    <x v="13"/>
  </r>
  <r>
    <x v="30"/>
    <s v="S31_2022_11"/>
    <x v="2"/>
    <s v="Maintenance"/>
    <x v="30"/>
    <s v="Fabiolain"/>
    <x v="1"/>
    <x v="55"/>
    <x v="40"/>
    <d v="2022-11-25T00:00:00"/>
    <e v="#REF!"/>
    <n v="12800"/>
    <e v="#REF!"/>
    <n v="0"/>
    <n v="0"/>
    <n v="0"/>
    <n v="0"/>
    <e v="#REF!"/>
    <e v="#REF!"/>
    <e v="#REF!"/>
    <n v="2000"/>
    <m/>
    <e v="#REF!"/>
    <e v="#REF!"/>
    <x v="9"/>
    <x v="11"/>
    <x v="1"/>
    <x v="13"/>
  </r>
  <r>
    <x v="4"/>
    <s v="S05_2022_11"/>
    <x v="0"/>
    <s v="Transversal"/>
    <x v="4"/>
    <s v="Florentin"/>
    <x v="3"/>
    <x v="55"/>
    <x v="40"/>
    <d v="2022-02-24T00:00:00"/>
    <n v="592000"/>
    <n v="625631"/>
    <n v="625631"/>
    <n v="0"/>
    <n v="0"/>
    <n v="0"/>
    <n v="0"/>
    <n v="6256.31"/>
    <n v="27375"/>
    <n v="619375"/>
    <n v="4000"/>
    <m/>
    <n v="625631"/>
    <n v="93845"/>
    <x v="1"/>
    <x v="0"/>
    <x v="1"/>
    <x v="13"/>
  </r>
  <r>
    <x v="41"/>
    <s v="S42_2022_11"/>
    <x v="3"/>
    <s v="Maintenance"/>
    <x v="41"/>
    <s v="Fifaliana"/>
    <x v="1"/>
    <x v="55"/>
    <x v="40"/>
    <d v="2022-11-25T00:00:00"/>
    <n v="9200"/>
    <n v="12373"/>
    <n v="12373"/>
    <n v="0"/>
    <n v="0"/>
    <n v="0"/>
    <n v="0"/>
    <n v="123.73"/>
    <n v="3000"/>
    <n v="12249"/>
    <n v="0"/>
    <m/>
    <n v="12373"/>
    <n v="1856"/>
    <x v="19"/>
    <x v="0"/>
    <x v="1"/>
    <x v="13"/>
  </r>
  <r>
    <x v="38"/>
    <s v="S39_2022_11"/>
    <x v="3"/>
    <s v="Maintenance"/>
    <x v="38"/>
    <s v="Lydie"/>
    <x v="19"/>
    <x v="55"/>
    <x v="40"/>
    <d v="2022-07-26T00:00:00"/>
    <n v="810000"/>
    <n v="905934"/>
    <n v="905934"/>
    <n v="0"/>
    <n v="0"/>
    <n v="0"/>
    <n v="0"/>
    <n v="9059.34"/>
    <n v="86875"/>
    <n v="896875"/>
    <n v="0"/>
    <m/>
    <n v="905934"/>
    <n v="135890"/>
    <x v="17"/>
    <x v="0"/>
    <x v="3"/>
    <x v="13"/>
  </r>
  <r>
    <x v="25"/>
    <s v="S26_2022_11"/>
    <x v="0"/>
    <s v="Construction"/>
    <x v="25"/>
    <s v="Anicet"/>
    <x v="5"/>
    <x v="55"/>
    <x v="40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3"/>
  </r>
  <r>
    <x v="42"/>
    <s v="S43_2022_11"/>
    <x v="3"/>
    <s v="Maintenance"/>
    <x v="42"/>
    <s v="Hery"/>
    <x v="1"/>
    <x v="55"/>
    <x v="40"/>
    <d v="2022-11-25T00:00:00"/>
    <n v="9200"/>
    <n v="12373"/>
    <n v="12373"/>
    <n v="0"/>
    <n v="0"/>
    <n v="0"/>
    <n v="0"/>
    <n v="123.73"/>
    <n v="3000"/>
    <n v="12249"/>
    <n v="2000"/>
    <m/>
    <n v="12373"/>
    <n v="1856"/>
    <x v="19"/>
    <x v="0"/>
    <x v="1"/>
    <x v="13"/>
  </r>
  <r>
    <x v="48"/>
    <s v="S49_2022_11"/>
    <x v="0"/>
    <s v="Maintenance"/>
    <x v="48"/>
    <s v="Jennio"/>
    <x v="1"/>
    <x v="55"/>
    <x v="40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3"/>
  </r>
  <r>
    <x v="5"/>
    <s v="S06_2022_11"/>
    <x v="1"/>
    <s v="Transversal"/>
    <x v="5"/>
    <s v="Michel"/>
    <x v="4"/>
    <x v="55"/>
    <x v="40"/>
    <d v="2022-02-24T00:00:00"/>
    <n v="590000"/>
    <n v="620581"/>
    <n v="620581"/>
    <n v="0"/>
    <n v="0"/>
    <n v="0"/>
    <n v="0"/>
    <n v="6205.81"/>
    <n v="24375"/>
    <n v="614375"/>
    <n v="6000"/>
    <m/>
    <n v="620581"/>
    <n v="93087"/>
    <x v="1"/>
    <x v="1"/>
    <x v="2"/>
    <x v="13"/>
  </r>
  <r>
    <x v="32"/>
    <s v="S33_2022_11"/>
    <x v="0"/>
    <s v="Maintenance"/>
    <x v="32"/>
    <s v="Perolin"/>
    <x v="1"/>
    <x v="55"/>
    <x v="40"/>
    <d v="2022-02-24T00:00:00"/>
    <n v="350000"/>
    <n v="356566"/>
    <n v="356566"/>
    <n v="0"/>
    <n v="0"/>
    <n v="0"/>
    <n v="0"/>
    <n v="3565.66"/>
    <n v="3000"/>
    <n v="353000"/>
    <n v="2000"/>
    <m/>
    <n v="356566"/>
    <n v="53485"/>
    <x v="11"/>
    <x v="0"/>
    <x v="1"/>
    <x v="13"/>
  </r>
  <r>
    <x v="0"/>
    <s v="S01_2022_11"/>
    <x v="0"/>
    <s v="Maintenance"/>
    <x v="0"/>
    <s v="Gaetan"/>
    <x v="0"/>
    <x v="55"/>
    <x v="40"/>
    <d v="2022-02-24T00:00:00"/>
    <n v="1100000"/>
    <n v="1264520"/>
    <n v="1264520"/>
    <n v="0"/>
    <n v="0"/>
    <n v="0"/>
    <n v="0"/>
    <n v="12645.2"/>
    <n v="151875"/>
    <n v="1251875"/>
    <n v="6000"/>
    <m/>
    <n v="1264520"/>
    <n v="189678"/>
    <x v="0"/>
    <x v="0"/>
    <x v="0"/>
    <x v="13"/>
  </r>
  <r>
    <x v="19"/>
    <s v="S20_2022_11"/>
    <x v="3"/>
    <s v="Maintenance"/>
    <x v="19"/>
    <s v="Manitrasina"/>
    <x v="1"/>
    <x v="55"/>
    <x v="40"/>
    <d v="2022-11-25T00:00:00"/>
    <n v="12300"/>
    <n v="15404"/>
    <n v="15404"/>
    <n v="0"/>
    <n v="0"/>
    <n v="0"/>
    <n v="0"/>
    <n v="154.04"/>
    <n v="3000"/>
    <n v="15250"/>
    <n v="2000"/>
    <m/>
    <n v="15404"/>
    <n v="2311"/>
    <x v="5"/>
    <x v="0"/>
    <x v="1"/>
    <x v="13"/>
  </r>
  <r>
    <x v="7"/>
    <s v="S08_2022_11"/>
    <x v="0"/>
    <s v="Transversal"/>
    <x v="7"/>
    <s v="Onja"/>
    <x v="6"/>
    <x v="55"/>
    <x v="40"/>
    <d v="2022-02-24T00:00:00"/>
    <n v="890000"/>
    <n v="1006944"/>
    <n v="1006944"/>
    <n v="0"/>
    <n v="0"/>
    <n v="0"/>
    <n v="0"/>
    <n v="10069.44"/>
    <n v="106875"/>
    <n v="996875"/>
    <n v="0"/>
    <m/>
    <n v="1006944"/>
    <n v="151042"/>
    <x v="2"/>
    <x v="0"/>
    <x v="0"/>
    <x v="13"/>
  </r>
  <r>
    <x v="8"/>
    <s v="S09_2022_11"/>
    <x v="2"/>
    <s v="Maintenance"/>
    <x v="8"/>
    <s v="Rinon"/>
    <x v="1"/>
    <x v="55"/>
    <x v="40"/>
    <d v="2022-02-24T00:00:00"/>
    <n v="450000"/>
    <n v="458474"/>
    <n v="458474"/>
    <n v="0"/>
    <n v="0"/>
    <n v="0"/>
    <n v="0"/>
    <n v="4584.74"/>
    <n v="3889"/>
    <n v="453889"/>
    <n v="4000"/>
    <m/>
    <n v="458474"/>
    <n v="68771"/>
    <x v="1"/>
    <x v="1"/>
    <x v="1"/>
    <x v="13"/>
  </r>
  <r>
    <x v="35"/>
    <s v="S36_2022_11"/>
    <x v="2"/>
    <s v="Transversal"/>
    <x v="35"/>
    <s v="Judicaël"/>
    <x v="3"/>
    <x v="55"/>
    <x v="40"/>
    <d v="2022-11-25T00:00:00"/>
    <n v="13100"/>
    <n v="16250"/>
    <n v="16250"/>
    <n v="0"/>
    <n v="0"/>
    <n v="0"/>
    <n v="0"/>
    <n v="162.5"/>
    <n v="3000"/>
    <n v="16088"/>
    <n v="6000"/>
    <m/>
    <n v="16250"/>
    <n v="2438"/>
    <x v="14"/>
    <x v="14"/>
    <x v="1"/>
    <x v="13"/>
  </r>
  <r>
    <x v="39"/>
    <s v="S40_2022_11"/>
    <x v="3"/>
    <s v="Maintenance"/>
    <x v="39"/>
    <s v="Nalaina"/>
    <x v="20"/>
    <x v="55"/>
    <x v="40"/>
    <d v="2022-07-26T00:00:00"/>
    <n v="820000"/>
    <n v="916035"/>
    <n v="916035"/>
    <n v="0"/>
    <n v="0"/>
    <n v="0"/>
    <n v="0"/>
    <n v="9160.35"/>
    <n v="86875"/>
    <n v="906875"/>
    <n v="2000"/>
    <m/>
    <n v="916035"/>
    <n v="137405"/>
    <x v="17"/>
    <x v="16"/>
    <x v="3"/>
    <x v="13"/>
  </r>
  <r>
    <x v="24"/>
    <s v="S25_2022_11"/>
    <x v="2"/>
    <s v="Maintenance"/>
    <x v="24"/>
    <s v="Doris"/>
    <x v="1"/>
    <x v="55"/>
    <x v="40"/>
    <d v="2022-02-24T00:00:00"/>
    <n v="527000"/>
    <n v="547237"/>
    <n v="547237"/>
    <n v="0"/>
    <n v="0"/>
    <n v="0"/>
    <n v="0"/>
    <n v="5472.37"/>
    <n v="14765"/>
    <n v="541765"/>
    <n v="4000"/>
    <m/>
    <n v="547237"/>
    <n v="82086"/>
    <x v="8"/>
    <x v="1"/>
    <x v="1"/>
    <x v="13"/>
  </r>
  <r>
    <x v="18"/>
    <s v="S19_2022_11"/>
    <x v="0"/>
    <s v="Maintenance"/>
    <x v="18"/>
    <s v="Faly"/>
    <x v="7"/>
    <x v="55"/>
    <x v="40"/>
    <d v="2022-02-24T00:00:00"/>
    <n v="702000"/>
    <n v="767045"/>
    <n v="767045"/>
    <n v="0"/>
    <n v="0"/>
    <n v="0"/>
    <n v="0"/>
    <n v="7670.45"/>
    <n v="57375"/>
    <n v="759375"/>
    <n v="2000"/>
    <m/>
    <n v="767045"/>
    <n v="115057"/>
    <x v="4"/>
    <x v="0"/>
    <x v="3"/>
    <x v="13"/>
  </r>
  <r>
    <x v="9"/>
    <s v="S10_2022_11"/>
    <x v="2"/>
    <s v="Maintenance"/>
    <x v="9"/>
    <s v="Alain"/>
    <x v="7"/>
    <x v="55"/>
    <x v="40"/>
    <d v="2022-02-24T00:00:00"/>
    <n v="440000"/>
    <n v="449495"/>
    <n v="449495"/>
    <n v="0"/>
    <n v="0"/>
    <n v="0"/>
    <n v="0"/>
    <n v="4494.95"/>
    <n v="5000"/>
    <n v="445000"/>
    <n v="2000"/>
    <m/>
    <n v="449495"/>
    <n v="67424"/>
    <x v="1"/>
    <x v="0"/>
    <x v="3"/>
    <x v="13"/>
  </r>
  <r>
    <x v="10"/>
    <s v="S11_2022_11"/>
    <x v="0"/>
    <s v="Transversal"/>
    <x v="10"/>
    <s v="Raoul"/>
    <x v="8"/>
    <x v="55"/>
    <x v="40"/>
    <d v="2022-11-25T00:00:00"/>
    <n v="437800"/>
    <n v="332845"/>
    <n v="445255"/>
    <n v="24929"/>
    <n v="18994"/>
    <n v="1"/>
    <n v="45"/>
    <n v="4452.55"/>
    <n v="3000"/>
    <n v="440802"/>
    <n v="6000"/>
    <m/>
    <n v="445255"/>
    <n v="66788"/>
    <x v="1"/>
    <x v="0"/>
    <x v="4"/>
    <x v="13"/>
  </r>
  <r>
    <x v="11"/>
    <s v="S12_2022_11"/>
    <x v="0"/>
    <s v="Transversal"/>
    <x v="11"/>
    <s v="Benedictine"/>
    <x v="9"/>
    <x v="55"/>
    <x v="40"/>
    <d v="2022-02-24T00:00:00"/>
    <n v="95000"/>
    <n v="98990"/>
    <n v="98990"/>
    <n v="0"/>
    <n v="0"/>
    <n v="0"/>
    <n v="0"/>
    <n v="989.9"/>
    <n v="3000"/>
    <n v="98000"/>
    <n v="6000"/>
    <m/>
    <n v="98990"/>
    <n v="14849"/>
    <x v="1"/>
    <x v="0"/>
    <x v="5"/>
    <x v="13"/>
  </r>
  <r>
    <x v="44"/>
    <s v="S45_2022_11"/>
    <x v="2"/>
    <s v="Construction"/>
    <x v="44"/>
    <s v="Antonio"/>
    <x v="5"/>
    <x v="55"/>
    <x v="40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9"/>
    <x v="1"/>
    <x v="13"/>
  </r>
  <r>
    <x v="1"/>
    <s v="S02_2022_11"/>
    <x v="0"/>
    <s v="Maintenance"/>
    <x v="1"/>
    <s v="Luo"/>
    <x v="1"/>
    <x v="55"/>
    <x v="40"/>
    <d v="2022-02-24T00:00:00"/>
    <n v="480000"/>
    <n v="496633"/>
    <n v="496633"/>
    <n v="0"/>
    <n v="0"/>
    <n v="0"/>
    <n v="0"/>
    <n v="4966.33"/>
    <n v="11667"/>
    <n v="491667"/>
    <n v="0"/>
    <m/>
    <n v="496633"/>
    <n v="74495"/>
    <x v="0"/>
    <x v="1"/>
    <x v="1"/>
    <x v="13"/>
  </r>
  <r>
    <x v="12"/>
    <s v="S13_2022_11"/>
    <x v="1"/>
    <s v="Transversal"/>
    <x v="12"/>
    <s v="Herizo"/>
    <x v="10"/>
    <x v="55"/>
    <x v="40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3"/>
  </r>
  <r>
    <x v="54"/>
    <s v="S55_2022_11"/>
    <x v="2"/>
    <s v="Construction"/>
    <x v="54"/>
    <s v="Ornella"/>
    <x v="24"/>
    <x v="55"/>
    <x v="40"/>
    <d v="2022-11-25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6"/>
    <x v="23"/>
    <x v="1"/>
    <x v="13"/>
  </r>
  <r>
    <x v="13"/>
    <s v="S14_2022_11"/>
    <x v="0"/>
    <s v="Transversal"/>
    <x v="13"/>
    <s v="Rene"/>
    <x v="8"/>
    <x v="55"/>
    <x v="40"/>
    <d v="2022-11-25T00:00:00"/>
    <n v="370000"/>
    <n v="332845"/>
    <n v="376768"/>
    <n v="24929"/>
    <n v="18994"/>
    <n v="0"/>
    <n v="0"/>
    <n v="3767.68"/>
    <n v="3000"/>
    <n v="373000"/>
    <n v="8000"/>
    <m/>
    <n v="376768"/>
    <n v="56515"/>
    <x v="1"/>
    <x v="0"/>
    <x v="4"/>
    <x v="13"/>
  </r>
  <r>
    <x v="14"/>
    <s v="S15_2022_11"/>
    <x v="2"/>
    <s v="Transversal"/>
    <x v="14"/>
    <s v="Chrisos"/>
    <x v="11"/>
    <x v="55"/>
    <x v="40"/>
    <d v="2022-02-24T00:00:00"/>
    <n v="1175000"/>
    <n v="1366793"/>
    <n v="1366793"/>
    <n v="0"/>
    <n v="0"/>
    <n v="0"/>
    <n v="0"/>
    <n v="13667.93"/>
    <n v="178125"/>
    <n v="1353125"/>
    <n v="0"/>
    <m/>
    <n v="1366793"/>
    <n v="205019"/>
    <x v="1"/>
    <x v="5"/>
    <x v="0"/>
    <x v="13"/>
  </r>
  <r>
    <x v="33"/>
    <s v="S34_2022_11"/>
    <x v="1"/>
    <s v="Transversal"/>
    <x v="33"/>
    <s v="Valérie"/>
    <x v="16"/>
    <x v="55"/>
    <x v="40"/>
    <d v="2022-02-24T00:00:00"/>
    <n v="720000"/>
    <n v="784722"/>
    <n v="784722"/>
    <n v="0"/>
    <n v="0"/>
    <n v="0"/>
    <n v="0"/>
    <n v="7847.22"/>
    <n v="56875"/>
    <n v="776875"/>
    <n v="6000"/>
    <m/>
    <n v="784722"/>
    <n v="117708"/>
    <x v="12"/>
    <x v="0"/>
    <x v="0"/>
    <x v="13"/>
  </r>
  <r>
    <x v="49"/>
    <s v="S50_2022_11"/>
    <x v="1"/>
    <s v="Transversal"/>
    <x v="49"/>
    <s v="Sandrine"/>
    <x v="22"/>
    <x v="55"/>
    <x v="40"/>
    <d v="2022-07-26T00:00:00"/>
    <n v="500000"/>
    <n v="517528"/>
    <n v="517528"/>
    <n v="0"/>
    <n v="0"/>
    <n v="0"/>
    <n v="0"/>
    <n v="5175.28"/>
    <n v="12353"/>
    <n v="512353"/>
    <n v="2000"/>
    <m/>
    <n v="517528"/>
    <n v="77629"/>
    <x v="21"/>
    <x v="0"/>
    <x v="1"/>
    <x v="13"/>
  </r>
  <r>
    <x v="47"/>
    <s v="S48_2022_11"/>
    <x v="0"/>
    <s v="Maintenance"/>
    <x v="47"/>
    <s v="Seva Christophe"/>
    <x v="1"/>
    <x v="55"/>
    <x v="40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2"/>
    <x v="1"/>
    <x v="13"/>
  </r>
  <r>
    <x v="52"/>
    <s v="S53_2022_11"/>
    <x v="2"/>
    <s v="Maintenance"/>
    <x v="52"/>
    <s v="Ginot"/>
    <x v="1"/>
    <x v="55"/>
    <x v="40"/>
    <d v="2022-09-27T00:00:00"/>
    <e v="#REF!"/>
    <n v="356566"/>
    <e v="#REF!"/>
    <n v="0"/>
    <n v="0"/>
    <n v="0"/>
    <n v="0"/>
    <e v="#REF!"/>
    <e v="#REF!"/>
    <e v="#REF!"/>
    <n v="0"/>
    <m/>
    <e v="#REF!"/>
    <e v="#REF!"/>
    <x v="24"/>
    <x v="0"/>
    <x v="1"/>
    <x v="13"/>
  </r>
  <r>
    <x v="27"/>
    <s v="S28_2022_11"/>
    <x v="2"/>
    <s v="Construction"/>
    <x v="27"/>
    <s v="Rodin"/>
    <x v="1"/>
    <x v="55"/>
    <x v="40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3"/>
  </r>
  <r>
    <x v="51"/>
    <s v="S52_2022_11"/>
    <x v="2"/>
    <s v="Transversal"/>
    <x v="51"/>
    <s v="Zefania"/>
    <x v="3"/>
    <x v="55"/>
    <x v="40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3"/>
  </r>
  <r>
    <x v="31"/>
    <s v="S32_2022_11"/>
    <x v="0"/>
    <s v="Maintenance"/>
    <x v="31"/>
    <s v="Francot"/>
    <x v="1"/>
    <x v="55"/>
    <x v="40"/>
    <d v="2022-02-24T00:00:00"/>
    <n v="360000"/>
    <n v="366667"/>
    <n v="366667"/>
    <n v="0"/>
    <n v="0"/>
    <n v="0"/>
    <n v="0"/>
    <n v="3666.67"/>
    <n v="3000"/>
    <n v="363000"/>
    <n v="2000"/>
    <m/>
    <n v="366667"/>
    <n v="55000"/>
    <x v="10"/>
    <x v="12"/>
    <x v="1"/>
    <x v="13"/>
  </r>
  <r>
    <x v="37"/>
    <s v="S38_2022_11"/>
    <x v="2"/>
    <s v="Maintenance"/>
    <x v="37"/>
    <s v="Christian"/>
    <x v="7"/>
    <x v="55"/>
    <x v="40"/>
    <d v="2022-01-26T00:00:00"/>
    <n v="500000"/>
    <n v="519905"/>
    <n v="519905"/>
    <n v="0"/>
    <n v="0"/>
    <n v="0"/>
    <n v="0"/>
    <n v="5199.05"/>
    <n v="14706"/>
    <n v="514706"/>
    <n v="0"/>
    <m/>
    <n v="519905"/>
    <n v="77986"/>
    <x v="16"/>
    <x v="0"/>
    <x v="3"/>
    <x v="13"/>
  </r>
  <r>
    <x v="15"/>
    <s v="S16_2022_11"/>
    <x v="0"/>
    <s v="Maintenance"/>
    <x v="15"/>
    <s v="Victorien"/>
    <x v="7"/>
    <x v="55"/>
    <x v="40"/>
    <d v="2022-02-24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1"/>
    <x v="0"/>
    <x v="3"/>
    <x v="13"/>
  </r>
  <r>
    <x v="16"/>
    <s v="S17_2022_11"/>
    <x v="0"/>
    <s v="Transversal"/>
    <x v="16"/>
    <s v="Velonasy"/>
    <x v="8"/>
    <x v="55"/>
    <x v="40"/>
    <d v="2022-11-25T00:00:00"/>
    <n v="431000"/>
    <n v="332845"/>
    <n v="438406"/>
    <n v="24929"/>
    <n v="18994"/>
    <n v="0"/>
    <n v="45"/>
    <n v="4384.0600000000004"/>
    <n v="3000"/>
    <n v="434022"/>
    <n v="6000"/>
    <m/>
    <n v="438406"/>
    <n v="65761"/>
    <x v="1"/>
    <x v="0"/>
    <x v="4"/>
    <x v="13"/>
  </r>
  <r>
    <x v="46"/>
    <s v="S47_2022_11"/>
    <x v="0"/>
    <s v="Construction"/>
    <x v="46"/>
    <s v="Dolin"/>
    <x v="5"/>
    <x v="55"/>
    <x v="40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3"/>
  </r>
  <r>
    <x v="45"/>
    <s v="S46_2022_11"/>
    <x v="2"/>
    <s v="Maintenance"/>
    <x v="45"/>
    <s v="Angeliot"/>
    <x v="1"/>
    <x v="55"/>
    <x v="40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0"/>
    <x v="1"/>
    <x v="13"/>
  </r>
  <r>
    <x v="0"/>
    <s v="S01_2022_12"/>
    <x v="0"/>
    <s v="Maintenance"/>
    <x v="0"/>
    <s v="Gaetan"/>
    <x v="0"/>
    <x v="56"/>
    <x v="41"/>
    <d v="2022-02-24T00:00:00"/>
    <n v="1100000"/>
    <n v="1264520"/>
    <n v="1264520"/>
    <n v="0"/>
    <n v="0"/>
    <n v="0"/>
    <n v="0"/>
    <n v="12645.2"/>
    <n v="151875"/>
    <n v="1251875"/>
    <n v="6000"/>
    <m/>
    <n v="1264520"/>
    <n v="189678"/>
    <x v="0"/>
    <x v="0"/>
    <x v="0"/>
    <x v="13"/>
  </r>
  <r>
    <x v="1"/>
    <s v="S02_2022_12"/>
    <x v="0"/>
    <s v="Maintenance"/>
    <x v="1"/>
    <s v="Luo"/>
    <x v="1"/>
    <x v="56"/>
    <x v="41"/>
    <d v="2022-02-24T00:00:00"/>
    <n v="480000"/>
    <n v="496633"/>
    <n v="496633"/>
    <n v="0"/>
    <n v="0"/>
    <n v="0"/>
    <n v="0"/>
    <n v="4966.33"/>
    <n v="11667"/>
    <n v="491667"/>
    <n v="0"/>
    <m/>
    <n v="496633"/>
    <n v="74495"/>
    <x v="0"/>
    <x v="1"/>
    <x v="1"/>
    <x v="13"/>
  </r>
  <r>
    <x v="2"/>
    <s v="S03_2022_12"/>
    <x v="0"/>
    <s v="Maintenance"/>
    <x v="2"/>
    <s v="Tsilavina"/>
    <x v="1"/>
    <x v="56"/>
    <x v="41"/>
    <d v="2022-02-24T00:00:00"/>
    <n v="442000"/>
    <n v="451739"/>
    <n v="451739"/>
    <n v="0"/>
    <n v="0"/>
    <n v="0"/>
    <n v="0"/>
    <n v="4517.3900000000003"/>
    <n v="5222"/>
    <n v="447222"/>
    <n v="2000"/>
    <m/>
    <n v="451739"/>
    <n v="67761"/>
    <x v="0"/>
    <x v="2"/>
    <x v="1"/>
    <x v="13"/>
  </r>
  <r>
    <x v="4"/>
    <s v="S05_2022_12"/>
    <x v="0"/>
    <s v="Transversal"/>
    <x v="4"/>
    <s v="Florentin"/>
    <x v="3"/>
    <x v="56"/>
    <x v="41"/>
    <d v="2022-02-24T00:00:00"/>
    <n v="592000"/>
    <n v="625631"/>
    <n v="625631"/>
    <n v="0"/>
    <n v="0"/>
    <n v="0"/>
    <n v="0"/>
    <n v="6256.31"/>
    <n v="27375"/>
    <n v="619375"/>
    <n v="4000"/>
    <m/>
    <n v="625631"/>
    <n v="93845"/>
    <x v="1"/>
    <x v="0"/>
    <x v="1"/>
    <x v="13"/>
  </r>
  <r>
    <x v="5"/>
    <s v="S06_2022_12"/>
    <x v="1"/>
    <s v="Transversal"/>
    <x v="5"/>
    <s v="Michel"/>
    <x v="4"/>
    <x v="56"/>
    <x v="41"/>
    <d v="2022-02-24T00:00:00"/>
    <n v="590000"/>
    <n v="620581"/>
    <n v="620581"/>
    <n v="0"/>
    <n v="0"/>
    <n v="0"/>
    <n v="0"/>
    <n v="6205.81"/>
    <n v="24375"/>
    <n v="614375"/>
    <n v="6000"/>
    <m/>
    <n v="620581"/>
    <n v="93087"/>
    <x v="1"/>
    <x v="1"/>
    <x v="2"/>
    <x v="13"/>
  </r>
  <r>
    <x v="7"/>
    <s v="S08_2022_12"/>
    <x v="0"/>
    <s v="Transversal"/>
    <x v="7"/>
    <s v="Onja"/>
    <x v="6"/>
    <x v="56"/>
    <x v="41"/>
    <d v="2022-02-24T00:00:00"/>
    <n v="890000"/>
    <n v="1006944"/>
    <n v="1006944"/>
    <n v="0"/>
    <n v="0"/>
    <n v="0"/>
    <n v="0"/>
    <n v="10069.44"/>
    <n v="106875"/>
    <n v="996875"/>
    <n v="0"/>
    <m/>
    <n v="1006944"/>
    <n v="151042"/>
    <x v="2"/>
    <x v="0"/>
    <x v="0"/>
    <x v="13"/>
  </r>
  <r>
    <x v="8"/>
    <s v="S09_2022_12"/>
    <x v="2"/>
    <s v="Maintenance"/>
    <x v="8"/>
    <s v="Rinon"/>
    <x v="1"/>
    <x v="56"/>
    <x v="41"/>
    <d v="2022-02-24T00:00:00"/>
    <n v="450000"/>
    <n v="458474"/>
    <n v="458474"/>
    <n v="0"/>
    <n v="0"/>
    <n v="0"/>
    <n v="0"/>
    <n v="4584.74"/>
    <n v="3889"/>
    <n v="453889"/>
    <n v="4000"/>
    <m/>
    <n v="458474"/>
    <n v="68771"/>
    <x v="1"/>
    <x v="1"/>
    <x v="1"/>
    <x v="13"/>
  </r>
  <r>
    <x v="9"/>
    <s v="S10_2022_12"/>
    <x v="2"/>
    <s v="Maintenance"/>
    <x v="9"/>
    <s v="Alain"/>
    <x v="7"/>
    <x v="56"/>
    <x v="41"/>
    <d v="2022-02-24T00:00:00"/>
    <n v="440000"/>
    <n v="449495"/>
    <n v="449495"/>
    <n v="0"/>
    <n v="0"/>
    <n v="0"/>
    <n v="0"/>
    <n v="4494.95"/>
    <n v="5000"/>
    <n v="445000"/>
    <n v="2000"/>
    <m/>
    <n v="449495"/>
    <n v="67424"/>
    <x v="1"/>
    <x v="0"/>
    <x v="3"/>
    <x v="13"/>
  </r>
  <r>
    <x v="10"/>
    <s v="S11_2022_12"/>
    <x v="0"/>
    <s v="Transversal"/>
    <x v="10"/>
    <s v="Raoul"/>
    <x v="8"/>
    <x v="56"/>
    <x v="41"/>
    <d v="2022-08-25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3"/>
  </r>
  <r>
    <x v="11"/>
    <s v="S12_2022_12"/>
    <x v="0"/>
    <s v="Transversal"/>
    <x v="11"/>
    <s v="Benedictine"/>
    <x v="9"/>
    <x v="56"/>
    <x v="41"/>
    <d v="2022-02-24T00:00:00"/>
    <n v="95000"/>
    <n v="98990"/>
    <n v="98990"/>
    <n v="0"/>
    <n v="0"/>
    <n v="0"/>
    <n v="0"/>
    <n v="989.9"/>
    <n v="3000"/>
    <n v="98000"/>
    <n v="6000"/>
    <m/>
    <n v="98990"/>
    <n v="14849"/>
    <x v="1"/>
    <x v="0"/>
    <x v="5"/>
    <x v="13"/>
  </r>
  <r>
    <x v="12"/>
    <s v="S13_2022_12"/>
    <x v="1"/>
    <s v="Transversal"/>
    <x v="12"/>
    <s v="Herizo"/>
    <x v="10"/>
    <x v="56"/>
    <x v="41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3"/>
  </r>
  <r>
    <x v="13"/>
    <s v="S14_2022_12"/>
    <x v="0"/>
    <s v="Transversal"/>
    <x v="13"/>
    <s v="Rene"/>
    <x v="8"/>
    <x v="56"/>
    <x v="41"/>
    <d v="2022-08-25T00:00:00"/>
    <n v="437800"/>
    <n v="332845"/>
    <n v="445255"/>
    <n v="24929"/>
    <n v="18994"/>
    <n v="1"/>
    <n v="45"/>
    <n v="4452.55"/>
    <n v="3000"/>
    <n v="440802"/>
    <n v="6000"/>
    <m/>
    <n v="445255"/>
    <n v="66788"/>
    <x v="1"/>
    <x v="0"/>
    <x v="4"/>
    <x v="13"/>
  </r>
  <r>
    <x v="14"/>
    <s v="S15_2022_12"/>
    <x v="2"/>
    <s v="Transversal"/>
    <x v="14"/>
    <s v="Chrisos"/>
    <x v="11"/>
    <x v="56"/>
    <x v="41"/>
    <d v="2022-02-24T00:00:00"/>
    <n v="1175000"/>
    <n v="1366793"/>
    <n v="1366793"/>
    <n v="0"/>
    <n v="0"/>
    <n v="0"/>
    <n v="0"/>
    <n v="13667.93"/>
    <n v="178125"/>
    <n v="1353125"/>
    <n v="0"/>
    <m/>
    <n v="1366793"/>
    <n v="205019"/>
    <x v="1"/>
    <x v="5"/>
    <x v="0"/>
    <x v="13"/>
  </r>
  <r>
    <x v="15"/>
    <s v="S16_2022_12"/>
    <x v="0"/>
    <s v="Maintenance"/>
    <x v="15"/>
    <s v="Victorien"/>
    <x v="7"/>
    <x v="56"/>
    <x v="41"/>
    <d v="2022-02-24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1"/>
    <x v="0"/>
    <x v="3"/>
    <x v="13"/>
  </r>
  <r>
    <x v="16"/>
    <s v="S17_2022_12"/>
    <x v="0"/>
    <s v="Transversal"/>
    <x v="16"/>
    <s v="Velonasy"/>
    <x v="8"/>
    <x v="56"/>
    <x v="41"/>
    <d v="2022-08-25T00:00:00"/>
    <n v="468300"/>
    <n v="332845"/>
    <n v="476758"/>
    <n v="24929"/>
    <n v="18994"/>
    <n v="0"/>
    <n v="73"/>
    <n v="4767.58"/>
    <n v="3699"/>
    <n v="471990"/>
    <n v="6000"/>
    <m/>
    <n v="476758"/>
    <n v="71514"/>
    <x v="1"/>
    <x v="0"/>
    <x v="4"/>
    <x v="13"/>
  </r>
  <r>
    <x v="18"/>
    <s v="S19_2022_12"/>
    <x v="0"/>
    <s v="Maintenance"/>
    <x v="18"/>
    <s v="Faly"/>
    <x v="7"/>
    <x v="56"/>
    <x v="41"/>
    <d v="2022-02-24T00:00:00"/>
    <n v="702000"/>
    <n v="767045"/>
    <n v="767045"/>
    <n v="0"/>
    <n v="0"/>
    <n v="0"/>
    <n v="0"/>
    <n v="7670.45"/>
    <n v="57375"/>
    <n v="759375"/>
    <n v="2000"/>
    <m/>
    <n v="767045"/>
    <n v="115057"/>
    <x v="4"/>
    <x v="0"/>
    <x v="3"/>
    <x v="13"/>
  </r>
  <r>
    <x v="19"/>
    <s v="S20_2022_12"/>
    <x v="3"/>
    <s v="Maintenance"/>
    <x v="19"/>
    <s v="Manitrasina"/>
    <x v="1"/>
    <x v="56"/>
    <x v="41"/>
    <d v="2022-08-25T00:00:00"/>
    <n v="12300"/>
    <n v="15404"/>
    <n v="15404"/>
    <n v="0"/>
    <n v="0"/>
    <n v="0"/>
    <n v="0"/>
    <n v="154.04"/>
    <n v="3000"/>
    <n v="15250"/>
    <n v="2000"/>
    <m/>
    <n v="15404"/>
    <n v="2311"/>
    <x v="5"/>
    <x v="0"/>
    <x v="1"/>
    <x v="13"/>
  </r>
  <r>
    <x v="23"/>
    <s v="S24_2022_12"/>
    <x v="2"/>
    <s v="Transversal"/>
    <x v="23"/>
    <s v="Christophe"/>
    <x v="14"/>
    <x v="56"/>
    <x v="41"/>
    <d v="2022-05-25T00:00:00"/>
    <n v="650000"/>
    <n v="701389"/>
    <n v="701389"/>
    <n v="0"/>
    <n v="0"/>
    <n v="0"/>
    <n v="0"/>
    <n v="7013.89"/>
    <n v="44375"/>
    <n v="694375"/>
    <n v="2000"/>
    <m/>
    <n v="701389"/>
    <n v="105208"/>
    <x v="8"/>
    <x v="0"/>
    <x v="3"/>
    <x v="13"/>
  </r>
  <r>
    <x v="24"/>
    <s v="S25_2022_12"/>
    <x v="2"/>
    <s v="Maintenance"/>
    <x v="24"/>
    <s v="Doris"/>
    <x v="1"/>
    <x v="56"/>
    <x v="41"/>
    <d v="2022-02-24T00:00:00"/>
    <n v="527000"/>
    <n v="547237"/>
    <n v="547237"/>
    <n v="0"/>
    <n v="0"/>
    <n v="0"/>
    <n v="0"/>
    <n v="5472.37"/>
    <n v="14765"/>
    <n v="541765"/>
    <n v="4000"/>
    <m/>
    <n v="547237"/>
    <n v="82086"/>
    <x v="8"/>
    <x v="1"/>
    <x v="1"/>
    <x v="13"/>
  </r>
  <r>
    <x v="25"/>
    <s v="S26_2022_12"/>
    <x v="0"/>
    <s v="Construction"/>
    <x v="25"/>
    <s v="Anicet"/>
    <x v="5"/>
    <x v="56"/>
    <x v="41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3"/>
  </r>
  <r>
    <x v="27"/>
    <s v="S28_2022_12"/>
    <x v="2"/>
    <s v="Construction"/>
    <x v="27"/>
    <s v="Rodin"/>
    <x v="1"/>
    <x v="56"/>
    <x v="41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3"/>
  </r>
  <r>
    <x v="29"/>
    <s v="S30_2022_12"/>
    <x v="2"/>
    <s v="Transversal"/>
    <x v="29"/>
    <s v="Marie Jeanne"/>
    <x v="9"/>
    <x v="56"/>
    <x v="41"/>
    <d v="2022-02-24T00:00:00"/>
    <n v="105000"/>
    <n v="109091"/>
    <n v="109091"/>
    <n v="0"/>
    <n v="0"/>
    <n v="0"/>
    <n v="0"/>
    <n v="1090.9100000000001"/>
    <n v="3000"/>
    <n v="108000"/>
    <n v="6000"/>
    <m/>
    <n v="109091"/>
    <n v="16364"/>
    <x v="8"/>
    <x v="0"/>
    <x v="5"/>
    <x v="13"/>
  </r>
  <r>
    <x v="31"/>
    <s v="S32_2022_12"/>
    <x v="0"/>
    <s v="Maintenance"/>
    <x v="31"/>
    <s v="Francot"/>
    <x v="1"/>
    <x v="56"/>
    <x v="41"/>
    <d v="2022-02-24T00:00:00"/>
    <n v="360000"/>
    <n v="366667"/>
    <n v="366667"/>
    <n v="0"/>
    <n v="0"/>
    <n v="0"/>
    <n v="0"/>
    <n v="3666.67"/>
    <n v="3000"/>
    <n v="363000"/>
    <n v="2000"/>
    <m/>
    <n v="366667"/>
    <n v="55000"/>
    <x v="10"/>
    <x v="12"/>
    <x v="1"/>
    <x v="13"/>
  </r>
  <r>
    <x v="32"/>
    <s v="S33_2022_12"/>
    <x v="0"/>
    <s v="Maintenance"/>
    <x v="32"/>
    <s v="Perolin"/>
    <x v="1"/>
    <x v="56"/>
    <x v="41"/>
    <d v="2022-02-24T00:00:00"/>
    <n v="350000"/>
    <n v="356566"/>
    <n v="356566"/>
    <n v="0"/>
    <n v="0"/>
    <n v="0"/>
    <n v="0"/>
    <n v="3565.66"/>
    <n v="3000"/>
    <n v="353000"/>
    <n v="2000"/>
    <m/>
    <n v="356566"/>
    <n v="53485"/>
    <x v="11"/>
    <x v="0"/>
    <x v="1"/>
    <x v="13"/>
  </r>
  <r>
    <x v="30"/>
    <s v="S31_2022_12"/>
    <x v="2"/>
    <s v="Maintenance"/>
    <x v="30"/>
    <s v="Fabiolain"/>
    <x v="1"/>
    <x v="56"/>
    <x v="41"/>
    <d v="2022-12-21T00:00:00"/>
    <e v="#REF!"/>
    <n v="12800"/>
    <e v="#REF!"/>
    <n v="0"/>
    <n v="0"/>
    <n v="0"/>
    <n v="0"/>
    <e v="#REF!"/>
    <e v="#REF!"/>
    <e v="#REF!"/>
    <n v="2000"/>
    <m/>
    <e v="#REF!"/>
    <e v="#REF!"/>
    <x v="9"/>
    <x v="11"/>
    <x v="1"/>
    <x v="13"/>
  </r>
  <r>
    <x v="33"/>
    <s v="S34_2022_12"/>
    <x v="1"/>
    <s v="Transversal"/>
    <x v="33"/>
    <s v="Valérie"/>
    <x v="16"/>
    <x v="56"/>
    <x v="41"/>
    <d v="2022-02-24T00:00:00"/>
    <n v="720000"/>
    <n v="784722"/>
    <n v="784722"/>
    <n v="0"/>
    <n v="0"/>
    <n v="0"/>
    <n v="0"/>
    <n v="7847.22"/>
    <n v="56875"/>
    <n v="776875"/>
    <n v="6000"/>
    <m/>
    <n v="784722"/>
    <n v="117708"/>
    <x v="12"/>
    <x v="0"/>
    <x v="0"/>
    <x v="13"/>
  </r>
  <r>
    <x v="35"/>
    <s v="S36_2022_12"/>
    <x v="2"/>
    <s v="Transversal"/>
    <x v="35"/>
    <s v="Judicaël"/>
    <x v="3"/>
    <x v="56"/>
    <x v="41"/>
    <d v="2022-08-25T00:00:00"/>
    <n v="13100"/>
    <n v="16250"/>
    <n v="16250"/>
    <n v="0"/>
    <n v="0"/>
    <n v="0"/>
    <n v="0"/>
    <n v="162.5"/>
    <n v="3000"/>
    <n v="16088"/>
    <n v="6000"/>
    <m/>
    <n v="16250"/>
    <n v="2438"/>
    <x v="14"/>
    <x v="14"/>
    <x v="1"/>
    <x v="13"/>
  </r>
  <r>
    <x v="37"/>
    <s v="S38_2022_12"/>
    <x v="2"/>
    <s v="Maintenance"/>
    <x v="37"/>
    <s v="Christian"/>
    <x v="7"/>
    <x v="56"/>
    <x v="41"/>
    <d v="2022-12-21T00:00:00"/>
    <n v="502000"/>
    <n v="519905"/>
    <n v="519905"/>
    <n v="0"/>
    <n v="0"/>
    <n v="0"/>
    <n v="0"/>
    <n v="5199.05"/>
    <n v="12706"/>
    <n v="514706"/>
    <n v="2000"/>
    <m/>
    <n v="519905"/>
    <n v="77986"/>
    <x v="16"/>
    <x v="0"/>
    <x v="3"/>
    <x v="13"/>
  </r>
  <r>
    <x v="38"/>
    <s v="S39_2022_12"/>
    <x v="3"/>
    <s v="Maintenance"/>
    <x v="38"/>
    <s v="Lydie"/>
    <x v="19"/>
    <x v="56"/>
    <x v="41"/>
    <d v="2022-07-26T00:00:00"/>
    <n v="810000"/>
    <n v="905934"/>
    <n v="905934"/>
    <n v="0"/>
    <n v="0"/>
    <n v="0"/>
    <n v="0"/>
    <n v="9059.34"/>
    <n v="86875"/>
    <n v="896875"/>
    <n v="0"/>
    <m/>
    <n v="905934"/>
    <n v="135890"/>
    <x v="17"/>
    <x v="0"/>
    <x v="3"/>
    <x v="13"/>
  </r>
  <r>
    <x v="39"/>
    <s v="S40_2022_12"/>
    <x v="3"/>
    <s v="Maintenance"/>
    <x v="39"/>
    <s v="Nalaina"/>
    <x v="20"/>
    <x v="56"/>
    <x v="41"/>
    <d v="2022-07-26T00:00:00"/>
    <n v="820000"/>
    <n v="916035"/>
    <n v="916035"/>
    <n v="0"/>
    <n v="0"/>
    <n v="0"/>
    <n v="0"/>
    <n v="9160.35"/>
    <n v="86875"/>
    <n v="906875"/>
    <n v="2000"/>
    <m/>
    <n v="916035"/>
    <n v="137405"/>
    <x v="17"/>
    <x v="16"/>
    <x v="3"/>
    <x v="13"/>
  </r>
  <r>
    <x v="40"/>
    <s v="S41_2022_12"/>
    <x v="2"/>
    <s v="Transversal"/>
    <x v="40"/>
    <s v="Mimix"/>
    <x v="21"/>
    <x v="56"/>
    <x v="41"/>
    <d v="2022-03-24T00:00:00"/>
    <n v="550000"/>
    <n v="579323"/>
    <n v="579323"/>
    <n v="0"/>
    <n v="0"/>
    <n v="0"/>
    <n v="0"/>
    <n v="5793.23"/>
    <n v="23530"/>
    <n v="573530"/>
    <n v="0"/>
    <m/>
    <n v="579323"/>
    <n v="86898"/>
    <x v="18"/>
    <x v="17"/>
    <x v="3"/>
    <x v="13"/>
  </r>
  <r>
    <x v="41"/>
    <s v="S42_2022_12"/>
    <x v="3"/>
    <s v="Maintenance"/>
    <x v="41"/>
    <s v="Fifaliana"/>
    <x v="1"/>
    <x v="56"/>
    <x v="41"/>
    <d v="2022-12-21T00:00:00"/>
    <n v="9200"/>
    <n v="12373"/>
    <n v="12373"/>
    <n v="0"/>
    <n v="0"/>
    <n v="0"/>
    <n v="0"/>
    <n v="123.73"/>
    <n v="3000"/>
    <n v="12249"/>
    <n v="0"/>
    <m/>
    <n v="12373"/>
    <n v="1856"/>
    <x v="19"/>
    <x v="0"/>
    <x v="1"/>
    <x v="13"/>
  </r>
  <r>
    <x v="42"/>
    <s v="S43_2022_12"/>
    <x v="3"/>
    <s v="Maintenance"/>
    <x v="42"/>
    <s v="Hery"/>
    <x v="1"/>
    <x v="56"/>
    <x v="41"/>
    <d v="2022-12-21T00:00:00"/>
    <n v="9200"/>
    <n v="12373"/>
    <n v="12373"/>
    <n v="0"/>
    <n v="0"/>
    <n v="0"/>
    <n v="0"/>
    <n v="123.73"/>
    <n v="3000"/>
    <n v="12249"/>
    <n v="2000"/>
    <m/>
    <n v="12373"/>
    <n v="1856"/>
    <x v="19"/>
    <x v="0"/>
    <x v="1"/>
    <x v="13"/>
  </r>
  <r>
    <x v="44"/>
    <s v="S45_2022_12"/>
    <x v="2"/>
    <s v="Construction"/>
    <x v="44"/>
    <s v="Antonio"/>
    <x v="5"/>
    <x v="56"/>
    <x v="41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9"/>
    <x v="1"/>
    <x v="13"/>
  </r>
  <r>
    <x v="45"/>
    <s v="S46_2022_12"/>
    <x v="2"/>
    <s v="Maintenance"/>
    <x v="45"/>
    <s v="Angeliot"/>
    <x v="1"/>
    <x v="56"/>
    <x v="41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0"/>
    <x v="1"/>
    <x v="13"/>
  </r>
  <r>
    <x v="46"/>
    <s v="S47_2022_12"/>
    <x v="0"/>
    <s v="Construction"/>
    <x v="46"/>
    <s v="Dolin"/>
    <x v="5"/>
    <x v="56"/>
    <x v="41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3"/>
  </r>
  <r>
    <x v="47"/>
    <s v="S48_2022_12"/>
    <x v="0"/>
    <s v="Maintenance"/>
    <x v="47"/>
    <s v="Seva Christophe"/>
    <x v="1"/>
    <x v="56"/>
    <x v="41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2"/>
    <x v="1"/>
    <x v="13"/>
  </r>
  <r>
    <x v="48"/>
    <s v="S49_2022_12"/>
    <x v="0"/>
    <s v="Maintenance"/>
    <x v="48"/>
    <s v="Jennio"/>
    <x v="1"/>
    <x v="56"/>
    <x v="41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3"/>
  </r>
  <r>
    <x v="49"/>
    <s v="S50_2022_12"/>
    <x v="1"/>
    <s v="Transversal"/>
    <x v="49"/>
    <s v="Sandrine"/>
    <x v="22"/>
    <x v="56"/>
    <x v="41"/>
    <d v="2022-07-26T00:00:00"/>
    <n v="500000"/>
    <n v="517528"/>
    <n v="517528"/>
    <n v="0"/>
    <n v="0"/>
    <n v="0"/>
    <n v="0"/>
    <n v="5175.28"/>
    <n v="12353"/>
    <n v="512353"/>
    <n v="2000"/>
    <m/>
    <n v="517528"/>
    <n v="77629"/>
    <x v="21"/>
    <x v="0"/>
    <x v="1"/>
    <x v="13"/>
  </r>
  <r>
    <x v="51"/>
    <s v="S52_2022_12"/>
    <x v="2"/>
    <s v="Transversal"/>
    <x v="51"/>
    <s v="Zefania"/>
    <x v="3"/>
    <x v="56"/>
    <x v="41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3"/>
  </r>
  <r>
    <x v="52"/>
    <s v="S53_2022_12"/>
    <x v="2"/>
    <s v="Maintenance"/>
    <x v="52"/>
    <s v="Ginot"/>
    <x v="1"/>
    <x v="56"/>
    <x v="41"/>
    <d v="2022-09-27T00:00:00"/>
    <e v="#REF!"/>
    <n v="356566"/>
    <e v="#REF!"/>
    <n v="0"/>
    <n v="0"/>
    <n v="0"/>
    <n v="0"/>
    <e v="#REF!"/>
    <e v="#REF!"/>
    <e v="#REF!"/>
    <n v="0"/>
    <m/>
    <e v="#REF!"/>
    <e v="#REF!"/>
    <x v="24"/>
    <x v="0"/>
    <x v="1"/>
    <x v="13"/>
  </r>
  <r>
    <x v="53"/>
    <s v="S54_2022_11"/>
    <x v="0"/>
    <s v="Construction"/>
    <x v="53"/>
    <s v="Frida"/>
    <x v="24"/>
    <x v="55"/>
    <x v="40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3"/>
  </r>
  <r>
    <x v="40"/>
    <s v="S41_2022_11"/>
    <x v="2"/>
    <s v="Transversal"/>
    <x v="40"/>
    <s v="Mimix"/>
    <x v="21"/>
    <x v="55"/>
    <x v="40"/>
    <d v="2022-03-24T00:00:00"/>
    <n v="550000"/>
    <n v="579323"/>
    <n v="579323"/>
    <n v="0"/>
    <n v="0"/>
    <n v="0"/>
    <n v="0"/>
    <n v="5793.23"/>
    <n v="23530"/>
    <n v="573530"/>
    <n v="0"/>
    <m/>
    <n v="579323"/>
    <n v="86898"/>
    <x v="18"/>
    <x v="17"/>
    <x v="3"/>
    <x v="13"/>
  </r>
  <r>
    <x v="53"/>
    <s v="S54_2022_12"/>
    <x v="0"/>
    <s v="Construction"/>
    <x v="53"/>
    <s v="Frida"/>
    <x v="24"/>
    <x v="56"/>
    <x v="41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3"/>
  </r>
  <r>
    <x v="54"/>
    <s v="S55_2022_12"/>
    <x v="2"/>
    <s v="Construction"/>
    <x v="54"/>
    <s v="Ornella"/>
    <x v="24"/>
    <x v="56"/>
    <x v="41"/>
    <d v="2022-11-25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6"/>
    <x v="23"/>
    <x v="1"/>
    <x v="13"/>
  </r>
  <r>
    <x v="0"/>
    <s v="S01_2023_1"/>
    <x v="0"/>
    <s v="Maintenance"/>
    <x v="0"/>
    <s v="Gaetan"/>
    <x v="0"/>
    <x v="57"/>
    <x v="42"/>
    <d v="2022-02-24T00:00:00"/>
    <n v="1100000"/>
    <n v="1264520"/>
    <n v="1264520"/>
    <n v="0"/>
    <n v="0"/>
    <n v="0"/>
    <n v="0"/>
    <n v="12645.2"/>
    <n v="151875"/>
    <n v="1251875"/>
    <n v="6000"/>
    <m/>
    <n v="1264520"/>
    <n v="189678"/>
    <x v="0"/>
    <x v="0"/>
    <x v="0"/>
    <x v="14"/>
  </r>
  <r>
    <x v="1"/>
    <s v="S02_2023_1"/>
    <x v="0"/>
    <s v="Maintenance"/>
    <x v="1"/>
    <s v="Luo"/>
    <x v="1"/>
    <x v="57"/>
    <x v="42"/>
    <d v="2022-02-24T00:00:00"/>
    <n v="480000"/>
    <n v="496633"/>
    <n v="496633"/>
    <n v="0"/>
    <n v="0"/>
    <n v="0"/>
    <n v="0"/>
    <n v="4966.33"/>
    <n v="11667"/>
    <n v="491667"/>
    <n v="0"/>
    <m/>
    <n v="496633"/>
    <n v="74495"/>
    <x v="0"/>
    <x v="1"/>
    <x v="1"/>
    <x v="14"/>
  </r>
  <r>
    <x v="2"/>
    <s v="S03_2023_1"/>
    <x v="0"/>
    <s v="Maintenance"/>
    <x v="2"/>
    <s v="Tsilavina"/>
    <x v="1"/>
    <x v="57"/>
    <x v="42"/>
    <d v="2022-02-24T00:00:00"/>
    <n v="442000"/>
    <n v="451739"/>
    <n v="451739"/>
    <n v="0"/>
    <n v="0"/>
    <n v="0"/>
    <n v="0"/>
    <n v="4517.3900000000003"/>
    <n v="5222"/>
    <n v="447222"/>
    <n v="2000"/>
    <m/>
    <n v="451739"/>
    <n v="67761"/>
    <x v="0"/>
    <x v="2"/>
    <x v="1"/>
    <x v="14"/>
  </r>
  <r>
    <x v="4"/>
    <s v="S05_2023_1"/>
    <x v="0"/>
    <s v="Transversal"/>
    <x v="4"/>
    <s v="Florentin"/>
    <x v="3"/>
    <x v="57"/>
    <x v="42"/>
    <d v="2022-02-24T00:00:00"/>
    <n v="592000"/>
    <n v="625631"/>
    <n v="625631"/>
    <n v="0"/>
    <n v="0"/>
    <n v="0"/>
    <n v="0"/>
    <n v="6256.31"/>
    <n v="27375"/>
    <n v="619375"/>
    <n v="4000"/>
    <m/>
    <n v="625631"/>
    <n v="93845"/>
    <x v="1"/>
    <x v="0"/>
    <x v="1"/>
    <x v="14"/>
  </r>
  <r>
    <x v="5"/>
    <s v="S06_2023_1"/>
    <x v="1"/>
    <s v="Transversal"/>
    <x v="5"/>
    <s v="Michel"/>
    <x v="4"/>
    <x v="57"/>
    <x v="42"/>
    <d v="2022-02-24T00:00:00"/>
    <n v="590000"/>
    <n v="620581"/>
    <n v="620581"/>
    <n v="0"/>
    <n v="0"/>
    <n v="0"/>
    <n v="0"/>
    <n v="6205.81"/>
    <n v="24375"/>
    <n v="614375"/>
    <n v="6000"/>
    <m/>
    <n v="620581"/>
    <n v="93087"/>
    <x v="1"/>
    <x v="1"/>
    <x v="2"/>
    <x v="14"/>
  </r>
  <r>
    <x v="7"/>
    <s v="S08_2023_1"/>
    <x v="0"/>
    <s v="Transversal"/>
    <x v="7"/>
    <s v="Onja"/>
    <x v="6"/>
    <x v="57"/>
    <x v="42"/>
    <d v="2022-02-24T00:00:00"/>
    <n v="890000"/>
    <n v="1006944"/>
    <n v="1006944"/>
    <n v="0"/>
    <n v="0"/>
    <n v="0"/>
    <n v="0"/>
    <n v="10069.44"/>
    <n v="106875"/>
    <n v="996875"/>
    <n v="0"/>
    <m/>
    <n v="1006944"/>
    <n v="151042"/>
    <x v="2"/>
    <x v="0"/>
    <x v="0"/>
    <x v="14"/>
  </r>
  <r>
    <x v="8"/>
    <s v="S09_2023_1"/>
    <x v="2"/>
    <s v="Maintenance"/>
    <x v="8"/>
    <s v="Rinon"/>
    <x v="1"/>
    <x v="57"/>
    <x v="42"/>
    <d v="2023-01-27T00:00:00"/>
    <n v="270000"/>
    <n v="275758"/>
    <n v="275758"/>
    <n v="0"/>
    <n v="0"/>
    <n v="0"/>
    <n v="0"/>
    <n v="2757.58"/>
    <n v="3000"/>
    <n v="273000"/>
    <n v="4000"/>
    <m/>
    <n v="275758"/>
    <n v="41364"/>
    <x v="1"/>
    <x v="1"/>
    <x v="1"/>
    <x v="14"/>
  </r>
  <r>
    <x v="9"/>
    <s v="S10_2023_1"/>
    <x v="2"/>
    <s v="Maintenance"/>
    <x v="9"/>
    <s v="Alain"/>
    <x v="7"/>
    <x v="57"/>
    <x v="42"/>
    <d v="2022-02-24T00:00:00"/>
    <n v="440000"/>
    <n v="449495"/>
    <n v="449495"/>
    <n v="0"/>
    <n v="0"/>
    <n v="0"/>
    <n v="0"/>
    <n v="4494.95"/>
    <n v="5000"/>
    <n v="445000"/>
    <n v="2000"/>
    <m/>
    <n v="449495"/>
    <n v="67424"/>
    <x v="1"/>
    <x v="0"/>
    <x v="3"/>
    <x v="14"/>
  </r>
  <r>
    <x v="10"/>
    <s v="S11_2023_1"/>
    <x v="0"/>
    <s v="Transversal"/>
    <x v="10"/>
    <s v="Raoul"/>
    <x v="8"/>
    <x v="57"/>
    <x v="42"/>
    <d v="2023-01-27T00:00:00"/>
    <n v="437800"/>
    <n v="332845"/>
    <n v="445255"/>
    <n v="24929"/>
    <n v="18994"/>
    <n v="1"/>
    <n v="45"/>
    <n v="4452.55"/>
    <n v="3000"/>
    <n v="440802"/>
    <n v="6000"/>
    <m/>
    <n v="445255"/>
    <n v="66788"/>
    <x v="1"/>
    <x v="0"/>
    <x v="4"/>
    <x v="14"/>
  </r>
  <r>
    <x v="11"/>
    <s v="S12_2023_1"/>
    <x v="0"/>
    <s v="Transversal"/>
    <x v="11"/>
    <s v="Benedictine"/>
    <x v="9"/>
    <x v="58"/>
    <x v="42"/>
    <d v="2022-02-24T00:00:00"/>
    <n v="95000"/>
    <n v="98990"/>
    <n v="98990"/>
    <n v="0"/>
    <n v="0"/>
    <n v="0"/>
    <n v="0"/>
    <n v="989.9"/>
    <n v="3000"/>
    <n v="98000"/>
    <n v="6000"/>
    <m/>
    <n v="98990"/>
    <n v="14849"/>
    <x v="1"/>
    <x v="0"/>
    <x v="5"/>
    <x v="14"/>
  </r>
  <r>
    <x v="12"/>
    <s v="S13_2023_1"/>
    <x v="1"/>
    <s v="Transversal"/>
    <x v="12"/>
    <s v="Herizo"/>
    <x v="10"/>
    <x v="57"/>
    <x v="42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4"/>
  </r>
  <r>
    <x v="13"/>
    <s v="S14_2023_1"/>
    <x v="0"/>
    <s v="Transversal"/>
    <x v="13"/>
    <s v="Rene"/>
    <x v="8"/>
    <x v="57"/>
    <x v="42"/>
    <d v="2023-01-27T00:00:00"/>
    <n v="450000"/>
    <n v="332845"/>
    <n v="457582"/>
    <n v="24929"/>
    <n v="18994"/>
    <n v="0"/>
    <n v="59"/>
    <n v="4575.82"/>
    <n v="3000"/>
    <n v="453006"/>
    <n v="8000"/>
    <m/>
    <n v="457582"/>
    <n v="68637"/>
    <x v="1"/>
    <x v="0"/>
    <x v="4"/>
    <x v="14"/>
  </r>
  <r>
    <x v="14"/>
    <s v="S15_2023_1"/>
    <x v="2"/>
    <s v="Transversal"/>
    <x v="14"/>
    <s v="Chrisos"/>
    <x v="11"/>
    <x v="57"/>
    <x v="42"/>
    <d v="2022-02-24T00:00:00"/>
    <n v="1175000"/>
    <n v="1366793"/>
    <n v="1366793"/>
    <n v="0"/>
    <n v="0"/>
    <n v="0"/>
    <n v="0"/>
    <n v="13667.93"/>
    <n v="178125"/>
    <n v="1353125"/>
    <n v="0"/>
    <m/>
    <n v="1366793"/>
    <n v="205019"/>
    <x v="1"/>
    <x v="5"/>
    <x v="0"/>
    <x v="14"/>
  </r>
  <r>
    <x v="15"/>
    <s v="S16_2023_1"/>
    <x v="0"/>
    <s v="Maintenance"/>
    <x v="15"/>
    <s v="Victorien"/>
    <x v="7"/>
    <x v="57"/>
    <x v="42"/>
    <d v="2022-02-24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1"/>
    <x v="0"/>
    <x v="3"/>
    <x v="14"/>
  </r>
  <r>
    <x v="16"/>
    <s v="S17_2023_1"/>
    <x v="0"/>
    <s v="Transversal"/>
    <x v="16"/>
    <s v="Velonasy"/>
    <x v="8"/>
    <x v="57"/>
    <x v="42"/>
    <d v="2023-01-27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4"/>
  </r>
  <r>
    <x v="18"/>
    <s v="S19_2023_1"/>
    <x v="0"/>
    <s v="Maintenance"/>
    <x v="18"/>
    <s v="Faly"/>
    <x v="7"/>
    <x v="57"/>
    <x v="42"/>
    <d v="2022-02-24T00:00:00"/>
    <n v="702000"/>
    <n v="767045"/>
    <n v="767045"/>
    <n v="0"/>
    <n v="0"/>
    <n v="0"/>
    <n v="0"/>
    <n v="7670.45"/>
    <n v="57375"/>
    <n v="759375"/>
    <n v="2000"/>
    <m/>
    <n v="767045"/>
    <n v="115057"/>
    <x v="4"/>
    <x v="0"/>
    <x v="3"/>
    <x v="14"/>
  </r>
  <r>
    <x v="19"/>
    <s v="S20_2023_1"/>
    <x v="3"/>
    <s v="Maintenance"/>
    <x v="19"/>
    <s v="Manitrasina"/>
    <x v="1"/>
    <x v="57"/>
    <x v="42"/>
    <d v="2023-01-27T00:00:00"/>
    <n v="12300"/>
    <n v="15404"/>
    <n v="15404"/>
    <n v="0"/>
    <n v="0"/>
    <n v="0"/>
    <n v="0"/>
    <n v="154.04"/>
    <n v="3000"/>
    <n v="15250"/>
    <n v="2000"/>
    <m/>
    <n v="15404"/>
    <n v="2311"/>
    <x v="5"/>
    <x v="0"/>
    <x v="1"/>
    <x v="14"/>
  </r>
  <r>
    <x v="23"/>
    <s v="S24_2023_1"/>
    <x v="2"/>
    <s v="Transversal"/>
    <x v="23"/>
    <s v="Christophe"/>
    <x v="14"/>
    <x v="57"/>
    <x v="42"/>
    <d v="2022-05-25T00:00:00"/>
    <n v="650000"/>
    <n v="701389"/>
    <n v="701389"/>
    <n v="0"/>
    <n v="0"/>
    <n v="0"/>
    <n v="0"/>
    <n v="7013.89"/>
    <n v="44375"/>
    <n v="694375"/>
    <n v="2000"/>
    <m/>
    <n v="701389"/>
    <n v="105208"/>
    <x v="8"/>
    <x v="0"/>
    <x v="3"/>
    <x v="14"/>
  </r>
  <r>
    <x v="24"/>
    <s v="S25_2023_1"/>
    <x v="2"/>
    <s v="Maintenance"/>
    <x v="24"/>
    <s v="Doris"/>
    <x v="1"/>
    <x v="57"/>
    <x v="42"/>
    <d v="2022-02-24T00:00:00"/>
    <n v="527000"/>
    <n v="547237"/>
    <n v="547237"/>
    <n v="0"/>
    <n v="0"/>
    <n v="0"/>
    <n v="0"/>
    <n v="5472.37"/>
    <n v="14765"/>
    <n v="541765"/>
    <n v="4000"/>
    <m/>
    <n v="547237"/>
    <n v="82086"/>
    <x v="8"/>
    <x v="1"/>
    <x v="1"/>
    <x v="14"/>
  </r>
  <r>
    <x v="25"/>
    <s v="S26_2023_1"/>
    <x v="0"/>
    <s v="Construction"/>
    <x v="25"/>
    <s v="Anicet"/>
    <x v="5"/>
    <x v="57"/>
    <x v="42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4"/>
  </r>
  <r>
    <x v="27"/>
    <s v="S28_2023_1"/>
    <x v="2"/>
    <s v="Construction"/>
    <x v="27"/>
    <s v="Rodin"/>
    <x v="1"/>
    <x v="57"/>
    <x v="42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4"/>
  </r>
  <r>
    <x v="29"/>
    <s v="S30_2023_1"/>
    <x v="2"/>
    <s v="Transversal"/>
    <x v="29"/>
    <s v="Marie Jeanne"/>
    <x v="9"/>
    <x v="57"/>
    <x v="42"/>
    <d v="2022-02-24T00:00:00"/>
    <n v="105000"/>
    <n v="109091"/>
    <n v="109091"/>
    <n v="0"/>
    <n v="0"/>
    <n v="0"/>
    <n v="0"/>
    <n v="1090.9100000000001"/>
    <n v="3000"/>
    <n v="108000"/>
    <n v="6000"/>
    <m/>
    <n v="109091"/>
    <n v="16364"/>
    <x v="8"/>
    <x v="0"/>
    <x v="5"/>
    <x v="14"/>
  </r>
  <r>
    <x v="31"/>
    <s v="S32_2023_1"/>
    <x v="0"/>
    <s v="Maintenance"/>
    <x v="31"/>
    <s v="Francot"/>
    <x v="1"/>
    <x v="57"/>
    <x v="42"/>
    <d v="2022-02-24T00:00:00"/>
    <n v="360000"/>
    <n v="366667"/>
    <n v="366667"/>
    <n v="0"/>
    <n v="0"/>
    <n v="0"/>
    <n v="0"/>
    <n v="3666.67"/>
    <n v="3000"/>
    <n v="363000"/>
    <n v="2000"/>
    <m/>
    <n v="366667"/>
    <n v="55000"/>
    <x v="10"/>
    <x v="12"/>
    <x v="1"/>
    <x v="14"/>
  </r>
  <r>
    <x v="32"/>
    <s v="S33_2023_1"/>
    <x v="0"/>
    <s v="Maintenance"/>
    <x v="32"/>
    <s v="Perolin"/>
    <x v="1"/>
    <x v="57"/>
    <x v="42"/>
    <d v="2022-02-24T00:00:00"/>
    <n v="350000"/>
    <n v="356566"/>
    <n v="356566"/>
    <n v="0"/>
    <n v="0"/>
    <n v="0"/>
    <n v="0"/>
    <n v="3565.66"/>
    <n v="3000"/>
    <n v="353000"/>
    <n v="2000"/>
    <m/>
    <n v="356566"/>
    <n v="53485"/>
    <x v="11"/>
    <x v="0"/>
    <x v="1"/>
    <x v="14"/>
  </r>
  <r>
    <x v="30"/>
    <s v="S31_2023_1"/>
    <x v="2"/>
    <s v="Maintenance"/>
    <x v="30"/>
    <s v="Fabiolain"/>
    <x v="1"/>
    <x v="57"/>
    <x v="42"/>
    <d v="2023-01-27T00:00:00"/>
    <e v="#REF!"/>
    <n v="12800"/>
    <e v="#REF!"/>
    <n v="0"/>
    <n v="0"/>
    <n v="0"/>
    <n v="0"/>
    <e v="#REF!"/>
    <e v="#REF!"/>
    <e v="#REF!"/>
    <n v="2000"/>
    <m/>
    <e v="#REF!"/>
    <e v="#REF!"/>
    <x v="9"/>
    <x v="11"/>
    <x v="1"/>
    <x v="14"/>
  </r>
  <r>
    <x v="33"/>
    <s v="S34_2023_1"/>
    <x v="1"/>
    <s v="Transversal"/>
    <x v="33"/>
    <s v="Valérie"/>
    <x v="16"/>
    <x v="57"/>
    <x v="42"/>
    <d v="2022-02-24T00:00:00"/>
    <n v="720000"/>
    <n v="784722"/>
    <n v="784722"/>
    <n v="0"/>
    <n v="0"/>
    <n v="0"/>
    <n v="0"/>
    <n v="7847.22"/>
    <n v="56875"/>
    <n v="776875"/>
    <n v="6000"/>
    <m/>
    <n v="784722"/>
    <n v="117708"/>
    <x v="12"/>
    <x v="0"/>
    <x v="0"/>
    <x v="14"/>
  </r>
  <r>
    <x v="35"/>
    <s v="S36_2023_1"/>
    <x v="2"/>
    <s v="Transversal"/>
    <x v="35"/>
    <s v="Judicaël"/>
    <x v="3"/>
    <x v="57"/>
    <x v="42"/>
    <d v="2023-01-27T00:00:00"/>
    <n v="13100"/>
    <n v="16250"/>
    <n v="16250"/>
    <n v="0"/>
    <n v="0"/>
    <n v="0"/>
    <n v="0"/>
    <n v="162.5"/>
    <n v="3000"/>
    <n v="16088"/>
    <n v="6000"/>
    <m/>
    <n v="16250"/>
    <n v="2438"/>
    <x v="14"/>
    <x v="14"/>
    <x v="1"/>
    <x v="14"/>
  </r>
  <r>
    <x v="37"/>
    <s v="S38_2023_1"/>
    <x v="2"/>
    <s v="Maintenance"/>
    <x v="37"/>
    <s v="Christian"/>
    <x v="7"/>
    <x v="57"/>
    <x v="42"/>
    <d v="2022-12-21T00:00:00"/>
    <n v="502000"/>
    <n v="519905"/>
    <n v="519905"/>
    <n v="0"/>
    <n v="0"/>
    <n v="0"/>
    <n v="0"/>
    <n v="5199.05"/>
    <n v="12706"/>
    <n v="514706"/>
    <n v="2000"/>
    <m/>
    <n v="519905"/>
    <n v="77986"/>
    <x v="16"/>
    <x v="0"/>
    <x v="3"/>
    <x v="14"/>
  </r>
  <r>
    <x v="38"/>
    <s v="S39_2023_1"/>
    <x v="3"/>
    <s v="Maintenance"/>
    <x v="38"/>
    <s v="Lydie"/>
    <x v="19"/>
    <x v="57"/>
    <x v="42"/>
    <d v="2022-07-26T00:00:00"/>
    <n v="810000"/>
    <n v="905934"/>
    <n v="905934"/>
    <n v="0"/>
    <n v="0"/>
    <n v="0"/>
    <n v="0"/>
    <n v="9059.34"/>
    <n v="86875"/>
    <n v="896875"/>
    <n v="0"/>
    <m/>
    <n v="905934"/>
    <n v="135890"/>
    <x v="17"/>
    <x v="0"/>
    <x v="3"/>
    <x v="14"/>
  </r>
  <r>
    <x v="39"/>
    <s v="S40_2023_1"/>
    <x v="3"/>
    <s v="Maintenance"/>
    <x v="39"/>
    <s v="Nalaina"/>
    <x v="20"/>
    <x v="57"/>
    <x v="42"/>
    <d v="2022-07-26T00:00:00"/>
    <n v="820000"/>
    <n v="916035"/>
    <n v="916035"/>
    <n v="0"/>
    <n v="0"/>
    <n v="0"/>
    <n v="0"/>
    <n v="9160.35"/>
    <n v="86875"/>
    <n v="906875"/>
    <n v="2000"/>
    <m/>
    <n v="916035"/>
    <n v="137405"/>
    <x v="17"/>
    <x v="16"/>
    <x v="3"/>
    <x v="14"/>
  </r>
  <r>
    <x v="40"/>
    <s v="S41_2023_1"/>
    <x v="2"/>
    <s v="Transversal"/>
    <x v="40"/>
    <s v="Mimix"/>
    <x v="21"/>
    <x v="57"/>
    <x v="42"/>
    <d v="2022-03-24T00:00:00"/>
    <n v="550000"/>
    <n v="579323"/>
    <n v="579323"/>
    <n v="0"/>
    <n v="0"/>
    <n v="0"/>
    <n v="0"/>
    <n v="5793.23"/>
    <n v="23530"/>
    <n v="573530"/>
    <n v="0"/>
    <m/>
    <n v="579323"/>
    <n v="86898"/>
    <x v="18"/>
    <x v="17"/>
    <x v="3"/>
    <x v="14"/>
  </r>
  <r>
    <x v="41"/>
    <s v="S42_2023_1"/>
    <x v="3"/>
    <s v="Maintenance"/>
    <x v="41"/>
    <s v="Fifaliana"/>
    <x v="1"/>
    <x v="57"/>
    <x v="42"/>
    <d v="2023-01-27T00:00:00"/>
    <n v="9200"/>
    <n v="12373"/>
    <n v="12373"/>
    <n v="0"/>
    <n v="0"/>
    <n v="0"/>
    <n v="0"/>
    <n v="123.73"/>
    <n v="3000"/>
    <n v="12249"/>
    <n v="0"/>
    <m/>
    <n v="12373"/>
    <n v="1856"/>
    <x v="19"/>
    <x v="0"/>
    <x v="1"/>
    <x v="14"/>
  </r>
  <r>
    <x v="42"/>
    <s v="S43_2023_1"/>
    <x v="3"/>
    <s v="Maintenance"/>
    <x v="42"/>
    <s v="Hery"/>
    <x v="1"/>
    <x v="57"/>
    <x v="42"/>
    <d v="2023-01-27T00:00:00"/>
    <n v="9200"/>
    <n v="12373"/>
    <n v="12373"/>
    <n v="0"/>
    <n v="0"/>
    <n v="0"/>
    <n v="0"/>
    <n v="123.73"/>
    <n v="3000"/>
    <n v="12249"/>
    <n v="2000"/>
    <m/>
    <n v="12373"/>
    <n v="1856"/>
    <x v="19"/>
    <x v="0"/>
    <x v="1"/>
    <x v="14"/>
  </r>
  <r>
    <x v="44"/>
    <s v="S45_2023_1"/>
    <x v="2"/>
    <s v="Construction"/>
    <x v="44"/>
    <s v="Antonio"/>
    <x v="5"/>
    <x v="57"/>
    <x v="42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9"/>
    <x v="1"/>
    <x v="14"/>
  </r>
  <r>
    <x v="45"/>
    <s v="S46_2023_1"/>
    <x v="2"/>
    <s v="Maintenance"/>
    <x v="45"/>
    <s v="Angeliot"/>
    <x v="1"/>
    <x v="57"/>
    <x v="42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0"/>
    <x v="1"/>
    <x v="14"/>
  </r>
  <r>
    <x v="46"/>
    <s v="S47_2023_1"/>
    <x v="0"/>
    <s v="Construction"/>
    <x v="46"/>
    <s v="Dolin"/>
    <x v="5"/>
    <x v="57"/>
    <x v="42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4"/>
  </r>
  <r>
    <x v="47"/>
    <s v="S48_2023_1"/>
    <x v="0"/>
    <s v="Maintenance"/>
    <x v="47"/>
    <s v="Seva Christophe"/>
    <x v="1"/>
    <x v="57"/>
    <x v="42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2"/>
    <x v="1"/>
    <x v="14"/>
  </r>
  <r>
    <x v="48"/>
    <s v="S49_2023_1"/>
    <x v="0"/>
    <s v="Maintenance"/>
    <x v="48"/>
    <s v="Jennio"/>
    <x v="1"/>
    <x v="57"/>
    <x v="42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4"/>
  </r>
  <r>
    <x v="49"/>
    <s v="S50_2023_1"/>
    <x v="1"/>
    <s v="Transversal"/>
    <x v="49"/>
    <s v="Sandrine"/>
    <x v="22"/>
    <x v="57"/>
    <x v="42"/>
    <d v="2022-07-26T00:00:00"/>
    <n v="500000"/>
    <n v="517528"/>
    <n v="517528"/>
    <n v="0"/>
    <n v="0"/>
    <n v="0"/>
    <n v="0"/>
    <n v="5175.28"/>
    <n v="12353"/>
    <n v="512353"/>
    <n v="2000"/>
    <m/>
    <n v="517528"/>
    <n v="77629"/>
    <x v="21"/>
    <x v="0"/>
    <x v="1"/>
    <x v="14"/>
  </r>
  <r>
    <x v="51"/>
    <s v="S52_2023_1"/>
    <x v="2"/>
    <s v="Transversal"/>
    <x v="51"/>
    <s v="Zefania"/>
    <x v="3"/>
    <x v="57"/>
    <x v="42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4"/>
  </r>
  <r>
    <x v="52"/>
    <s v="S53_2023_1"/>
    <x v="2"/>
    <s v="Maintenance"/>
    <x v="52"/>
    <s v="Ginot"/>
    <x v="1"/>
    <x v="57"/>
    <x v="42"/>
    <d v="2023-01-27T00:00:00"/>
    <e v="#REF!"/>
    <n v="291717"/>
    <e v="#REF!"/>
    <n v="0"/>
    <n v="0"/>
    <n v="0"/>
    <n v="0"/>
    <e v="#REF!"/>
    <e v="#REF!"/>
    <e v="#REF!"/>
    <n v="0"/>
    <m/>
    <e v="#REF!"/>
    <e v="#REF!"/>
    <x v="24"/>
    <x v="0"/>
    <x v="1"/>
    <x v="14"/>
  </r>
  <r>
    <x v="53"/>
    <s v="S54_2023_1"/>
    <x v="0"/>
    <s v="Construction"/>
    <x v="53"/>
    <s v="Frida"/>
    <x v="24"/>
    <x v="57"/>
    <x v="42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4"/>
  </r>
  <r>
    <x v="54"/>
    <s v="S55_2023_1"/>
    <x v="2"/>
    <s v="Construction"/>
    <x v="54"/>
    <s v="Ornella"/>
    <x v="24"/>
    <x v="57"/>
    <x v="42"/>
    <d v="2023-01-27T00:00:00"/>
    <n v="153300"/>
    <n v="157879"/>
    <n v="157879"/>
    <n v="0"/>
    <n v="0"/>
    <n v="0"/>
    <n v="0"/>
    <n v="1578.79"/>
    <n v="3000"/>
    <n v="156300"/>
    <n v="2000"/>
    <m/>
    <n v="157879"/>
    <n v="23682"/>
    <x v="26"/>
    <x v="23"/>
    <x v="1"/>
    <x v="14"/>
  </r>
  <r>
    <x v="0"/>
    <s v="S01_2023_2"/>
    <x v="0"/>
    <s v="Maintenance"/>
    <x v="0"/>
    <s v="Gaetan"/>
    <x v="0"/>
    <x v="59"/>
    <x v="43"/>
    <d v="2022-02-24T00:00:00"/>
    <n v="1100000"/>
    <n v="1264520"/>
    <n v="1264520"/>
    <n v="0"/>
    <n v="0"/>
    <n v="0"/>
    <n v="0"/>
    <n v="12645.2"/>
    <n v="151875"/>
    <n v="1251875"/>
    <n v="6000"/>
    <m/>
    <n v="1264520"/>
    <n v="189678"/>
    <x v="0"/>
    <x v="0"/>
    <x v="0"/>
    <x v="14"/>
  </r>
  <r>
    <x v="1"/>
    <s v="S02_2023_2"/>
    <x v="0"/>
    <s v="Maintenance"/>
    <x v="1"/>
    <s v="Luo"/>
    <x v="1"/>
    <x v="59"/>
    <x v="43"/>
    <d v="2022-02-24T00:00:00"/>
    <n v="480000"/>
    <n v="496633"/>
    <n v="496633"/>
    <n v="0"/>
    <n v="0"/>
    <n v="0"/>
    <n v="0"/>
    <n v="4966.33"/>
    <n v="11667"/>
    <n v="491667"/>
    <n v="0"/>
    <m/>
    <n v="496633"/>
    <n v="74495"/>
    <x v="0"/>
    <x v="1"/>
    <x v="1"/>
    <x v="14"/>
  </r>
  <r>
    <x v="2"/>
    <s v="S03_2023_2"/>
    <x v="0"/>
    <s v="Maintenance"/>
    <x v="2"/>
    <s v="Tsilavina"/>
    <x v="1"/>
    <x v="59"/>
    <x v="43"/>
    <d v="2022-02-24T00:00:00"/>
    <n v="442000"/>
    <n v="451739"/>
    <n v="451739"/>
    <n v="0"/>
    <n v="0"/>
    <n v="0"/>
    <n v="0"/>
    <n v="4517.3900000000003"/>
    <n v="5222"/>
    <n v="447222"/>
    <n v="2000"/>
    <m/>
    <n v="451739"/>
    <n v="67761"/>
    <x v="0"/>
    <x v="2"/>
    <x v="1"/>
    <x v="14"/>
  </r>
  <r>
    <x v="4"/>
    <s v="S05_2023_2"/>
    <x v="0"/>
    <s v="Transversal"/>
    <x v="4"/>
    <s v="Florentin"/>
    <x v="3"/>
    <x v="59"/>
    <x v="43"/>
    <d v="2022-02-24T00:00:00"/>
    <n v="592000"/>
    <n v="625631"/>
    <n v="625631"/>
    <n v="0"/>
    <n v="0"/>
    <n v="0"/>
    <n v="0"/>
    <n v="6256.31"/>
    <n v="27375"/>
    <n v="619375"/>
    <n v="4000"/>
    <m/>
    <n v="625631"/>
    <n v="93845"/>
    <x v="1"/>
    <x v="0"/>
    <x v="1"/>
    <x v="14"/>
  </r>
  <r>
    <x v="5"/>
    <s v="S06_2023_2"/>
    <x v="1"/>
    <s v="Transversal"/>
    <x v="5"/>
    <s v="Michel"/>
    <x v="4"/>
    <x v="59"/>
    <x v="43"/>
    <d v="2022-02-24T00:00:00"/>
    <n v="590000"/>
    <n v="620581"/>
    <n v="620581"/>
    <n v="0"/>
    <n v="0"/>
    <n v="0"/>
    <n v="0"/>
    <n v="6205.81"/>
    <n v="24375"/>
    <n v="614375"/>
    <n v="6000"/>
    <m/>
    <n v="620581"/>
    <n v="93087"/>
    <x v="1"/>
    <x v="1"/>
    <x v="2"/>
    <x v="14"/>
  </r>
  <r>
    <x v="7"/>
    <s v="S08_2023_2"/>
    <x v="0"/>
    <s v="Transversal"/>
    <x v="7"/>
    <s v="Onja"/>
    <x v="6"/>
    <x v="59"/>
    <x v="43"/>
    <d v="2022-02-24T00:00:00"/>
    <n v="890000"/>
    <n v="1006944"/>
    <n v="1006944"/>
    <n v="0"/>
    <n v="0"/>
    <n v="0"/>
    <n v="0"/>
    <n v="10069.44"/>
    <n v="106875"/>
    <n v="996875"/>
    <n v="0"/>
    <m/>
    <n v="1006944"/>
    <n v="151042"/>
    <x v="2"/>
    <x v="0"/>
    <x v="0"/>
    <x v="14"/>
  </r>
  <r>
    <x v="8"/>
    <s v="S09_2023_2"/>
    <x v="2"/>
    <s v="Maintenance"/>
    <x v="8"/>
    <s v="Rinon"/>
    <x v="1"/>
    <x v="59"/>
    <x v="43"/>
    <d v="2022-02-24T00:00:00"/>
    <n v="450000"/>
    <n v="458474"/>
    <n v="458474"/>
    <n v="0"/>
    <n v="0"/>
    <n v="0"/>
    <n v="0"/>
    <n v="4584.74"/>
    <n v="3889"/>
    <n v="453889"/>
    <n v="4000"/>
    <m/>
    <n v="458474"/>
    <n v="68771"/>
    <x v="1"/>
    <x v="1"/>
    <x v="1"/>
    <x v="14"/>
  </r>
  <r>
    <x v="9"/>
    <s v="S10_2023_2"/>
    <x v="2"/>
    <s v="Maintenance"/>
    <x v="9"/>
    <s v="Alain"/>
    <x v="7"/>
    <x v="59"/>
    <x v="43"/>
    <d v="2022-02-24T00:00:00"/>
    <n v="440000"/>
    <n v="449495"/>
    <n v="449495"/>
    <n v="0"/>
    <n v="0"/>
    <n v="0"/>
    <n v="0"/>
    <n v="4494.95"/>
    <n v="5000"/>
    <n v="445000"/>
    <n v="2000"/>
    <m/>
    <n v="449495"/>
    <n v="67424"/>
    <x v="1"/>
    <x v="0"/>
    <x v="3"/>
    <x v="14"/>
  </r>
  <r>
    <x v="10"/>
    <s v="S11_2023_2"/>
    <x v="0"/>
    <s v="Transversal"/>
    <x v="10"/>
    <s v="Raoul"/>
    <x v="8"/>
    <x v="59"/>
    <x v="43"/>
    <d v="2022-08-25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4"/>
  </r>
  <r>
    <x v="11"/>
    <s v="S12_2023_2"/>
    <x v="0"/>
    <s v="Transversal"/>
    <x v="11"/>
    <s v="Benedictine"/>
    <x v="9"/>
    <x v="59"/>
    <x v="43"/>
    <d v="2022-02-24T00:00:00"/>
    <n v="95000"/>
    <n v="98990"/>
    <n v="98990"/>
    <n v="0"/>
    <n v="0"/>
    <n v="0"/>
    <n v="0"/>
    <n v="989.9"/>
    <n v="3000"/>
    <n v="98000"/>
    <n v="6000"/>
    <m/>
    <n v="98990"/>
    <n v="14849"/>
    <x v="1"/>
    <x v="0"/>
    <x v="5"/>
    <x v="14"/>
  </r>
  <r>
    <x v="12"/>
    <s v="S13_2023_2"/>
    <x v="1"/>
    <s v="Transversal"/>
    <x v="12"/>
    <s v="Herizo"/>
    <x v="10"/>
    <x v="59"/>
    <x v="43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4"/>
  </r>
  <r>
    <x v="13"/>
    <s v="S14_2023_2"/>
    <x v="0"/>
    <s v="Transversal"/>
    <x v="13"/>
    <s v="Rene"/>
    <x v="8"/>
    <x v="59"/>
    <x v="43"/>
    <d v="2022-07-26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4"/>
  </r>
  <r>
    <x v="14"/>
    <s v="S15_2023_2"/>
    <x v="2"/>
    <s v="Transversal"/>
    <x v="14"/>
    <s v="Chrisos"/>
    <x v="11"/>
    <x v="59"/>
    <x v="43"/>
    <d v="2022-02-24T00:00:00"/>
    <n v="1175000"/>
    <n v="1366793"/>
    <n v="1366793"/>
    <n v="0"/>
    <n v="0"/>
    <n v="0"/>
    <n v="0"/>
    <n v="13667.93"/>
    <n v="178125"/>
    <n v="1353125"/>
    <n v="0"/>
    <m/>
    <n v="1366793"/>
    <n v="205019"/>
    <x v="1"/>
    <x v="5"/>
    <x v="0"/>
    <x v="14"/>
  </r>
  <r>
    <x v="15"/>
    <s v="S16_2023_2"/>
    <x v="0"/>
    <s v="Maintenance"/>
    <x v="15"/>
    <s v="Victorien"/>
    <x v="7"/>
    <x v="59"/>
    <x v="43"/>
    <d v="2022-02-24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1"/>
    <x v="0"/>
    <x v="3"/>
    <x v="14"/>
  </r>
  <r>
    <x v="16"/>
    <s v="S17_2023_2"/>
    <x v="0"/>
    <s v="Transversal"/>
    <x v="16"/>
    <s v="Velonasy"/>
    <x v="8"/>
    <x v="59"/>
    <x v="43"/>
    <d v="2023-01-27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4"/>
  </r>
  <r>
    <x v="18"/>
    <s v="S19_2023_2"/>
    <x v="0"/>
    <s v="Maintenance"/>
    <x v="18"/>
    <s v="Faly"/>
    <x v="7"/>
    <x v="59"/>
    <x v="43"/>
    <d v="2022-02-24T00:00:00"/>
    <n v="702000"/>
    <n v="767045"/>
    <n v="767045"/>
    <n v="0"/>
    <n v="0"/>
    <n v="0"/>
    <n v="0"/>
    <n v="7670.45"/>
    <n v="57375"/>
    <n v="759375"/>
    <n v="2000"/>
    <m/>
    <n v="767045"/>
    <n v="115057"/>
    <x v="4"/>
    <x v="0"/>
    <x v="3"/>
    <x v="14"/>
  </r>
  <r>
    <x v="19"/>
    <s v="S20_2023_2"/>
    <x v="3"/>
    <s v="Maintenance"/>
    <x v="19"/>
    <s v="Manitrasina"/>
    <x v="1"/>
    <x v="59"/>
    <x v="43"/>
    <d v="2023-02-24T00:00:00"/>
    <n v="12300"/>
    <n v="15404"/>
    <n v="15404"/>
    <n v="0"/>
    <n v="0"/>
    <n v="0"/>
    <n v="0"/>
    <n v="154.04"/>
    <n v="3000"/>
    <n v="15250"/>
    <n v="2000"/>
    <m/>
    <n v="15404"/>
    <n v="2311"/>
    <x v="5"/>
    <x v="0"/>
    <x v="1"/>
    <x v="14"/>
  </r>
  <r>
    <x v="23"/>
    <s v="S24_2023_2"/>
    <x v="2"/>
    <s v="Transversal"/>
    <x v="23"/>
    <s v="Christophe"/>
    <x v="14"/>
    <x v="59"/>
    <x v="43"/>
    <d v="2022-05-25T00:00:00"/>
    <n v="650000"/>
    <n v="701389"/>
    <n v="701389"/>
    <n v="0"/>
    <n v="0"/>
    <n v="0"/>
    <n v="0"/>
    <n v="7013.89"/>
    <n v="44375"/>
    <n v="694375"/>
    <n v="2000"/>
    <m/>
    <n v="701389"/>
    <n v="105208"/>
    <x v="8"/>
    <x v="0"/>
    <x v="3"/>
    <x v="14"/>
  </r>
  <r>
    <x v="24"/>
    <s v="S25_2023_2"/>
    <x v="2"/>
    <s v="Maintenance"/>
    <x v="24"/>
    <s v="Doris"/>
    <x v="1"/>
    <x v="59"/>
    <x v="43"/>
    <d v="2022-02-24T00:00:00"/>
    <n v="527000"/>
    <n v="547237"/>
    <n v="547237"/>
    <n v="0"/>
    <n v="0"/>
    <n v="0"/>
    <n v="0"/>
    <n v="5472.37"/>
    <n v="14765"/>
    <n v="541765"/>
    <n v="4000"/>
    <m/>
    <n v="547237"/>
    <n v="82086"/>
    <x v="8"/>
    <x v="1"/>
    <x v="1"/>
    <x v="14"/>
  </r>
  <r>
    <x v="25"/>
    <s v="S26_2023_2"/>
    <x v="0"/>
    <s v="Construction"/>
    <x v="25"/>
    <s v="Anicet"/>
    <x v="5"/>
    <x v="59"/>
    <x v="43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4"/>
  </r>
  <r>
    <x v="27"/>
    <s v="S28_2023_2"/>
    <x v="2"/>
    <s v="Construction"/>
    <x v="27"/>
    <s v="Rodin"/>
    <x v="1"/>
    <x v="59"/>
    <x v="43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4"/>
  </r>
  <r>
    <x v="29"/>
    <s v="S30_2023_2"/>
    <x v="2"/>
    <s v="Transversal"/>
    <x v="29"/>
    <s v="Marie Jeanne"/>
    <x v="9"/>
    <x v="59"/>
    <x v="43"/>
    <d v="2022-02-24T00:00:00"/>
    <n v="105000"/>
    <n v="109091"/>
    <n v="109091"/>
    <n v="0"/>
    <n v="0"/>
    <n v="0"/>
    <n v="0"/>
    <n v="1090.9100000000001"/>
    <n v="3000"/>
    <n v="108000"/>
    <n v="6000"/>
    <m/>
    <n v="109091"/>
    <n v="16364"/>
    <x v="8"/>
    <x v="0"/>
    <x v="5"/>
    <x v="14"/>
  </r>
  <r>
    <x v="31"/>
    <s v="S32_2023_2"/>
    <x v="0"/>
    <s v="Maintenance"/>
    <x v="31"/>
    <s v="Francot"/>
    <x v="1"/>
    <x v="59"/>
    <x v="43"/>
    <d v="2022-02-24T00:00:00"/>
    <n v="360000"/>
    <n v="366667"/>
    <n v="366667"/>
    <n v="0"/>
    <n v="0"/>
    <n v="0"/>
    <n v="0"/>
    <n v="3666.67"/>
    <n v="3000"/>
    <n v="363000"/>
    <n v="2000"/>
    <m/>
    <n v="366667"/>
    <n v="55000"/>
    <x v="10"/>
    <x v="12"/>
    <x v="1"/>
    <x v="14"/>
  </r>
  <r>
    <x v="32"/>
    <s v="S33_2023_2"/>
    <x v="0"/>
    <s v="Maintenance"/>
    <x v="32"/>
    <s v="Perolin"/>
    <x v="1"/>
    <x v="59"/>
    <x v="43"/>
    <d v="2022-02-24T00:00:00"/>
    <n v="350000"/>
    <n v="356566"/>
    <n v="356566"/>
    <n v="0"/>
    <n v="0"/>
    <n v="0"/>
    <n v="0"/>
    <n v="3565.66"/>
    <n v="3000"/>
    <n v="353000"/>
    <n v="2000"/>
    <m/>
    <n v="356566"/>
    <n v="53485"/>
    <x v="11"/>
    <x v="0"/>
    <x v="1"/>
    <x v="14"/>
  </r>
  <r>
    <x v="30"/>
    <s v="S31_2023_2"/>
    <x v="2"/>
    <s v="Maintenance"/>
    <x v="30"/>
    <s v="Fabiolain"/>
    <x v="1"/>
    <x v="59"/>
    <x v="43"/>
    <d v="2023-02-24T00:00:00"/>
    <e v="#REF!"/>
    <n v="12800"/>
    <e v="#REF!"/>
    <n v="0"/>
    <n v="0"/>
    <n v="0"/>
    <n v="0"/>
    <e v="#REF!"/>
    <e v="#REF!"/>
    <e v="#REF!"/>
    <n v="2000"/>
    <m/>
    <e v="#REF!"/>
    <e v="#REF!"/>
    <x v="9"/>
    <x v="11"/>
    <x v="1"/>
    <x v="14"/>
  </r>
  <r>
    <x v="33"/>
    <s v="S34_2023_2"/>
    <x v="1"/>
    <s v="Transversal"/>
    <x v="33"/>
    <s v="Valérie"/>
    <x v="16"/>
    <x v="59"/>
    <x v="43"/>
    <d v="2022-02-24T00:00:00"/>
    <n v="720000"/>
    <n v="784722"/>
    <n v="784722"/>
    <n v="0"/>
    <n v="0"/>
    <n v="0"/>
    <n v="0"/>
    <n v="7847.22"/>
    <n v="56875"/>
    <n v="776875"/>
    <n v="6000"/>
    <m/>
    <n v="784722"/>
    <n v="117708"/>
    <x v="12"/>
    <x v="0"/>
    <x v="0"/>
    <x v="14"/>
  </r>
  <r>
    <x v="35"/>
    <s v="S36_2023_2"/>
    <x v="2"/>
    <s v="Transversal"/>
    <x v="35"/>
    <s v="Judicaël"/>
    <x v="3"/>
    <x v="59"/>
    <x v="43"/>
    <d v="2023-02-24T00:00:00"/>
    <n v="13100"/>
    <n v="16250"/>
    <n v="16250"/>
    <n v="0"/>
    <n v="0"/>
    <n v="0"/>
    <n v="0"/>
    <n v="162.5"/>
    <n v="3000"/>
    <n v="16088"/>
    <n v="6000"/>
    <m/>
    <n v="16250"/>
    <n v="2438"/>
    <x v="14"/>
    <x v="14"/>
    <x v="1"/>
    <x v="14"/>
  </r>
  <r>
    <x v="37"/>
    <s v="S38_2023_2"/>
    <x v="2"/>
    <s v="Maintenance"/>
    <x v="37"/>
    <s v="Christian"/>
    <x v="7"/>
    <x v="59"/>
    <x v="43"/>
    <d v="2022-12-21T00:00:00"/>
    <n v="502000"/>
    <n v="519905"/>
    <n v="519905"/>
    <n v="0"/>
    <n v="0"/>
    <n v="0"/>
    <n v="0"/>
    <n v="5199.05"/>
    <n v="12706"/>
    <n v="514706"/>
    <n v="2000"/>
    <m/>
    <n v="519905"/>
    <n v="77986"/>
    <x v="16"/>
    <x v="0"/>
    <x v="3"/>
    <x v="14"/>
  </r>
  <r>
    <x v="38"/>
    <s v="S39_2023_2"/>
    <x v="3"/>
    <s v="Maintenance"/>
    <x v="38"/>
    <s v="Lydie"/>
    <x v="19"/>
    <x v="59"/>
    <x v="43"/>
    <d v="2022-07-26T00:00:00"/>
    <n v="810000"/>
    <n v="905934"/>
    <n v="905934"/>
    <n v="0"/>
    <n v="0"/>
    <n v="0"/>
    <n v="0"/>
    <n v="9059.34"/>
    <n v="86875"/>
    <n v="896875"/>
    <n v="0"/>
    <m/>
    <n v="905934"/>
    <n v="135890"/>
    <x v="17"/>
    <x v="0"/>
    <x v="3"/>
    <x v="14"/>
  </r>
  <r>
    <x v="39"/>
    <s v="S40_2023_2"/>
    <x v="3"/>
    <s v="Maintenance"/>
    <x v="39"/>
    <s v="Nalaina"/>
    <x v="20"/>
    <x v="59"/>
    <x v="43"/>
    <d v="2022-07-26T00:00:00"/>
    <n v="820000"/>
    <n v="916035"/>
    <n v="916035"/>
    <n v="0"/>
    <n v="0"/>
    <n v="0"/>
    <n v="0"/>
    <n v="9160.35"/>
    <n v="86875"/>
    <n v="906875"/>
    <n v="2000"/>
    <m/>
    <n v="916035"/>
    <n v="137405"/>
    <x v="17"/>
    <x v="16"/>
    <x v="3"/>
    <x v="14"/>
  </r>
  <r>
    <x v="40"/>
    <s v="S41_2023_2"/>
    <x v="2"/>
    <s v="Transversal"/>
    <x v="40"/>
    <s v="Mimix"/>
    <x v="21"/>
    <x v="59"/>
    <x v="43"/>
    <d v="2022-03-24T00:00:00"/>
    <n v="550000"/>
    <n v="579323"/>
    <n v="579323"/>
    <n v="0"/>
    <n v="0"/>
    <n v="0"/>
    <n v="0"/>
    <n v="5793.23"/>
    <n v="23530"/>
    <n v="573530"/>
    <n v="0"/>
    <m/>
    <n v="579323"/>
    <n v="86898"/>
    <x v="18"/>
    <x v="17"/>
    <x v="3"/>
    <x v="14"/>
  </r>
  <r>
    <x v="41"/>
    <s v="S42_2023_2"/>
    <x v="3"/>
    <s v="Maintenance"/>
    <x v="41"/>
    <s v="Fifaliana"/>
    <x v="1"/>
    <x v="59"/>
    <x v="43"/>
    <d v="2023-02-24T00:00:00"/>
    <n v="9200"/>
    <n v="12373"/>
    <n v="12373"/>
    <n v="0"/>
    <n v="0"/>
    <n v="0"/>
    <n v="0"/>
    <n v="123.73"/>
    <n v="3000"/>
    <n v="12249"/>
    <n v="0"/>
    <m/>
    <n v="12373"/>
    <n v="1856"/>
    <x v="19"/>
    <x v="0"/>
    <x v="1"/>
    <x v="14"/>
  </r>
  <r>
    <x v="42"/>
    <s v="S43_2023_2"/>
    <x v="3"/>
    <s v="Maintenance"/>
    <x v="42"/>
    <s v="Hery"/>
    <x v="1"/>
    <x v="59"/>
    <x v="43"/>
    <d v="2023-02-24T00:00:00"/>
    <n v="9200"/>
    <n v="12373"/>
    <n v="12373"/>
    <n v="0"/>
    <n v="0"/>
    <n v="0"/>
    <n v="0"/>
    <n v="123.73"/>
    <n v="3000"/>
    <n v="12249"/>
    <n v="2000"/>
    <m/>
    <n v="12373"/>
    <n v="1856"/>
    <x v="19"/>
    <x v="0"/>
    <x v="1"/>
    <x v="14"/>
  </r>
  <r>
    <x v="44"/>
    <s v="S45_2023_2"/>
    <x v="2"/>
    <s v="Construction"/>
    <x v="44"/>
    <s v="Antonio"/>
    <x v="5"/>
    <x v="59"/>
    <x v="43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9"/>
    <x v="1"/>
    <x v="14"/>
  </r>
  <r>
    <x v="45"/>
    <s v="S46_2023_2"/>
    <x v="2"/>
    <s v="Maintenance"/>
    <x v="45"/>
    <s v="Angeliot"/>
    <x v="1"/>
    <x v="59"/>
    <x v="43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0"/>
    <x v="1"/>
    <x v="14"/>
  </r>
  <r>
    <x v="46"/>
    <s v="S47_2023_2"/>
    <x v="0"/>
    <s v="Construction"/>
    <x v="46"/>
    <s v="Dolin"/>
    <x v="5"/>
    <x v="59"/>
    <x v="43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4"/>
  </r>
  <r>
    <x v="47"/>
    <s v="S48_2023_2"/>
    <x v="0"/>
    <s v="Maintenance"/>
    <x v="47"/>
    <s v="Seva Christophe"/>
    <x v="1"/>
    <x v="59"/>
    <x v="43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2"/>
    <x v="1"/>
    <x v="14"/>
  </r>
  <r>
    <x v="48"/>
    <s v="S49_2023_2"/>
    <x v="0"/>
    <s v="Maintenance"/>
    <x v="48"/>
    <s v="Jennio"/>
    <x v="1"/>
    <x v="59"/>
    <x v="43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4"/>
  </r>
  <r>
    <x v="49"/>
    <s v="S50_2023_2"/>
    <x v="1"/>
    <s v="Transversal"/>
    <x v="49"/>
    <s v="Sandrine"/>
    <x v="22"/>
    <x v="59"/>
    <x v="43"/>
    <d v="2022-07-26T00:00:00"/>
    <n v="500000"/>
    <n v="517528"/>
    <n v="517528"/>
    <n v="0"/>
    <n v="0"/>
    <n v="0"/>
    <n v="0"/>
    <n v="5175.28"/>
    <n v="12353"/>
    <n v="512353"/>
    <n v="2000"/>
    <m/>
    <n v="517528"/>
    <n v="77629"/>
    <x v="21"/>
    <x v="0"/>
    <x v="1"/>
    <x v="14"/>
  </r>
  <r>
    <x v="51"/>
    <s v="S52_2023_2"/>
    <x v="2"/>
    <s v="Transversal"/>
    <x v="51"/>
    <s v="Zefania"/>
    <x v="3"/>
    <x v="59"/>
    <x v="43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4"/>
  </r>
  <r>
    <x v="52"/>
    <s v="S53_2023_2"/>
    <x v="2"/>
    <s v="Maintenance"/>
    <x v="52"/>
    <s v="Ginot"/>
    <x v="1"/>
    <x v="59"/>
    <x v="43"/>
    <d v="2022-09-27T00:00:00"/>
    <e v="#REF!"/>
    <n v="356566"/>
    <e v="#REF!"/>
    <n v="0"/>
    <n v="0"/>
    <n v="0"/>
    <n v="0"/>
    <e v="#REF!"/>
    <e v="#REF!"/>
    <e v="#REF!"/>
    <n v="0"/>
    <m/>
    <e v="#REF!"/>
    <e v="#REF!"/>
    <x v="24"/>
    <x v="0"/>
    <x v="1"/>
    <x v="14"/>
  </r>
  <r>
    <x v="53"/>
    <s v="S54_2023_2"/>
    <x v="0"/>
    <s v="Construction"/>
    <x v="53"/>
    <s v="Frida"/>
    <x v="24"/>
    <x v="59"/>
    <x v="43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4"/>
  </r>
  <r>
    <x v="0"/>
    <s v="S01_2023_3"/>
    <x v="0"/>
    <s v="Maintenance"/>
    <x v="0"/>
    <s v="Gaetan"/>
    <x v="0"/>
    <x v="60"/>
    <x v="44"/>
    <d v="2022-02-24T00:00:00"/>
    <n v="1100000"/>
    <n v="1264520"/>
    <n v="1264520"/>
    <n v="0"/>
    <n v="0"/>
    <n v="0"/>
    <n v="0"/>
    <n v="12645.2"/>
    <n v="151875"/>
    <n v="1251875"/>
    <n v="6000"/>
    <m/>
    <n v="1264520"/>
    <n v="189678"/>
    <x v="0"/>
    <x v="0"/>
    <x v="0"/>
    <x v="14"/>
  </r>
  <r>
    <x v="1"/>
    <s v="S02_2023_3"/>
    <x v="0"/>
    <s v="Maintenance"/>
    <x v="1"/>
    <s v="Luo"/>
    <x v="1"/>
    <x v="60"/>
    <x v="44"/>
    <d v="2022-02-24T00:00:00"/>
    <n v="480000"/>
    <n v="496633"/>
    <n v="496633"/>
    <n v="0"/>
    <n v="0"/>
    <n v="0"/>
    <n v="0"/>
    <n v="4966.33"/>
    <n v="11667"/>
    <n v="491667"/>
    <n v="0"/>
    <m/>
    <n v="496633"/>
    <n v="74495"/>
    <x v="0"/>
    <x v="1"/>
    <x v="1"/>
    <x v="14"/>
  </r>
  <r>
    <x v="2"/>
    <s v="S03_2023_3"/>
    <x v="0"/>
    <s v="Maintenance"/>
    <x v="2"/>
    <s v="Tsilavina"/>
    <x v="1"/>
    <x v="60"/>
    <x v="44"/>
    <d v="2022-02-24T00:00:00"/>
    <n v="442000"/>
    <n v="451739"/>
    <n v="451739"/>
    <n v="0"/>
    <n v="0"/>
    <n v="0"/>
    <n v="0"/>
    <n v="4517.3900000000003"/>
    <n v="5222"/>
    <n v="447222"/>
    <n v="2000"/>
    <m/>
    <n v="451739"/>
    <n v="67761"/>
    <x v="0"/>
    <x v="2"/>
    <x v="1"/>
    <x v="14"/>
  </r>
  <r>
    <x v="4"/>
    <s v="S05_2023_3"/>
    <x v="0"/>
    <s v="Transversal"/>
    <x v="4"/>
    <s v="Florentin"/>
    <x v="3"/>
    <x v="60"/>
    <x v="44"/>
    <d v="2022-02-24T00:00:00"/>
    <n v="592000"/>
    <n v="625631"/>
    <n v="625631"/>
    <n v="0"/>
    <n v="0"/>
    <n v="0"/>
    <n v="0"/>
    <n v="6256.31"/>
    <n v="27375"/>
    <n v="619375"/>
    <n v="4000"/>
    <m/>
    <n v="625631"/>
    <n v="93845"/>
    <x v="1"/>
    <x v="0"/>
    <x v="1"/>
    <x v="14"/>
  </r>
  <r>
    <x v="5"/>
    <s v="S06_2023_3"/>
    <x v="1"/>
    <s v="Transversal"/>
    <x v="5"/>
    <s v="Michel"/>
    <x v="4"/>
    <x v="60"/>
    <x v="44"/>
    <d v="2022-02-24T00:00:00"/>
    <n v="590000"/>
    <n v="620581"/>
    <n v="620581"/>
    <n v="0"/>
    <n v="0"/>
    <n v="0"/>
    <n v="0"/>
    <n v="6205.81"/>
    <n v="24375"/>
    <n v="614375"/>
    <n v="6000"/>
    <m/>
    <n v="620581"/>
    <n v="93087"/>
    <x v="1"/>
    <x v="1"/>
    <x v="2"/>
    <x v="14"/>
  </r>
  <r>
    <x v="7"/>
    <s v="S08_2023_3"/>
    <x v="0"/>
    <s v="Transversal"/>
    <x v="7"/>
    <s v="Onja"/>
    <x v="6"/>
    <x v="60"/>
    <x v="44"/>
    <d v="2022-02-24T00:00:00"/>
    <n v="890000"/>
    <n v="1006944"/>
    <n v="1006944"/>
    <n v="0"/>
    <n v="0"/>
    <n v="0"/>
    <n v="0"/>
    <n v="10069.44"/>
    <n v="106875"/>
    <n v="996875"/>
    <n v="0"/>
    <m/>
    <n v="1006944"/>
    <n v="151042"/>
    <x v="2"/>
    <x v="0"/>
    <x v="0"/>
    <x v="14"/>
  </r>
  <r>
    <x v="8"/>
    <s v="S09_2023_3"/>
    <x v="2"/>
    <s v="Maintenance"/>
    <x v="8"/>
    <s v="Rinon"/>
    <x v="1"/>
    <x v="60"/>
    <x v="44"/>
    <d v="2022-02-24T00:00:00"/>
    <n v="450000"/>
    <n v="458474"/>
    <n v="458474"/>
    <n v="0"/>
    <n v="0"/>
    <n v="0"/>
    <n v="0"/>
    <n v="4584.74"/>
    <n v="3889"/>
    <n v="453889"/>
    <n v="4000"/>
    <m/>
    <n v="458474"/>
    <n v="68771"/>
    <x v="1"/>
    <x v="1"/>
    <x v="1"/>
    <x v="14"/>
  </r>
  <r>
    <x v="9"/>
    <s v="S10_2023_3"/>
    <x v="2"/>
    <s v="Maintenance"/>
    <x v="9"/>
    <s v="Alain"/>
    <x v="7"/>
    <x v="60"/>
    <x v="44"/>
    <d v="2022-02-24T00:00:00"/>
    <n v="440000"/>
    <n v="449495"/>
    <n v="449495"/>
    <n v="0"/>
    <n v="0"/>
    <n v="0"/>
    <n v="0"/>
    <n v="4494.95"/>
    <n v="5000"/>
    <n v="445000"/>
    <n v="2000"/>
    <m/>
    <n v="449495"/>
    <n v="67424"/>
    <x v="1"/>
    <x v="0"/>
    <x v="3"/>
    <x v="14"/>
  </r>
  <r>
    <x v="10"/>
    <s v="S11_2023_3"/>
    <x v="0"/>
    <s v="Transversal"/>
    <x v="10"/>
    <s v="Raoul"/>
    <x v="8"/>
    <x v="60"/>
    <x v="44"/>
    <d v="2022-08-25T00:00:00"/>
    <n v="370000"/>
    <n v="332845"/>
    <n v="376768"/>
    <n v="24929"/>
    <n v="18994"/>
    <n v="0"/>
    <n v="0"/>
    <n v="3767.68"/>
    <n v="3000"/>
    <n v="373000"/>
    <n v="6000"/>
    <m/>
    <n v="376768"/>
    <n v="56515"/>
    <x v="1"/>
    <x v="0"/>
    <x v="4"/>
    <x v="14"/>
  </r>
  <r>
    <x v="11"/>
    <s v="S12_2023_3"/>
    <x v="0"/>
    <s v="Transversal"/>
    <x v="11"/>
    <s v="Benedictine"/>
    <x v="9"/>
    <x v="60"/>
    <x v="44"/>
    <d v="2022-02-24T00:00:00"/>
    <n v="95000"/>
    <n v="98990"/>
    <n v="98990"/>
    <n v="0"/>
    <n v="0"/>
    <n v="0"/>
    <n v="0"/>
    <n v="989.9"/>
    <n v="3000"/>
    <n v="98000"/>
    <n v="6000"/>
    <m/>
    <n v="98990"/>
    <n v="14849"/>
    <x v="1"/>
    <x v="0"/>
    <x v="5"/>
    <x v="14"/>
  </r>
  <r>
    <x v="12"/>
    <s v="S13_2023_3"/>
    <x v="1"/>
    <s v="Transversal"/>
    <x v="12"/>
    <s v="Herizo"/>
    <x v="10"/>
    <x v="60"/>
    <x v="44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4"/>
  </r>
  <r>
    <x v="13"/>
    <s v="S14_2023_3"/>
    <x v="0"/>
    <s v="Transversal"/>
    <x v="13"/>
    <s v="Rene"/>
    <x v="8"/>
    <x v="60"/>
    <x v="44"/>
    <d v="2023-03-27T00:00:00"/>
    <n v="444600"/>
    <n v="332845"/>
    <n v="452103"/>
    <n v="24929"/>
    <n v="18994"/>
    <n v="0"/>
    <n v="55"/>
    <n v="4521.03"/>
    <n v="3000"/>
    <n v="447582"/>
    <n v="8000"/>
    <m/>
    <n v="452103"/>
    <n v="67815"/>
    <x v="1"/>
    <x v="0"/>
    <x v="4"/>
    <x v="14"/>
  </r>
  <r>
    <x v="14"/>
    <s v="S15_2023_3"/>
    <x v="2"/>
    <s v="Transversal"/>
    <x v="14"/>
    <s v="Chrisos"/>
    <x v="11"/>
    <x v="60"/>
    <x v="44"/>
    <d v="2022-02-24T00:00:00"/>
    <n v="1175000"/>
    <n v="1366793"/>
    <n v="1366793"/>
    <n v="0"/>
    <n v="0"/>
    <n v="0"/>
    <n v="0"/>
    <n v="13667.93"/>
    <n v="178125"/>
    <n v="1353125"/>
    <n v="0"/>
    <m/>
    <n v="1366793"/>
    <n v="205019"/>
    <x v="1"/>
    <x v="5"/>
    <x v="0"/>
    <x v="14"/>
  </r>
  <r>
    <x v="15"/>
    <s v="S16_2023_3"/>
    <x v="0"/>
    <s v="Maintenance"/>
    <x v="15"/>
    <s v="Victorien"/>
    <x v="7"/>
    <x v="60"/>
    <x v="44"/>
    <d v="2022-02-24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1"/>
    <x v="0"/>
    <x v="3"/>
    <x v="14"/>
  </r>
  <r>
    <x v="16"/>
    <s v="S17_2023_3"/>
    <x v="0"/>
    <s v="Transversal"/>
    <x v="16"/>
    <s v="Velonasy"/>
    <x v="8"/>
    <x v="60"/>
    <x v="44"/>
    <d v="2023-03-27T00:00:00"/>
    <n v="443200"/>
    <n v="332845"/>
    <n v="450734"/>
    <n v="24929"/>
    <n v="18994"/>
    <n v="1"/>
    <n v="49"/>
    <n v="4507.34"/>
    <n v="3000"/>
    <n v="446227"/>
    <n v="6000"/>
    <m/>
    <n v="450734"/>
    <n v="67610"/>
    <x v="1"/>
    <x v="0"/>
    <x v="4"/>
    <x v="14"/>
  </r>
  <r>
    <x v="18"/>
    <s v="S19_2023_3"/>
    <x v="0"/>
    <s v="Maintenance"/>
    <x v="18"/>
    <s v="Faly"/>
    <x v="7"/>
    <x v="60"/>
    <x v="44"/>
    <d v="2022-02-24T00:00:00"/>
    <n v="702000"/>
    <n v="767045"/>
    <n v="767045"/>
    <n v="0"/>
    <n v="0"/>
    <n v="0"/>
    <n v="0"/>
    <n v="7670.45"/>
    <n v="57375"/>
    <n v="759375"/>
    <n v="2000"/>
    <m/>
    <n v="767045"/>
    <n v="115057"/>
    <x v="4"/>
    <x v="0"/>
    <x v="3"/>
    <x v="14"/>
  </r>
  <r>
    <x v="19"/>
    <s v="S20_2023_3"/>
    <x v="3"/>
    <s v="Maintenance"/>
    <x v="19"/>
    <s v="Manitrasina"/>
    <x v="1"/>
    <x v="60"/>
    <x v="44"/>
    <d v="2023-03-27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4"/>
  </r>
  <r>
    <x v="23"/>
    <s v="S24_2023_3"/>
    <x v="2"/>
    <s v="Transversal"/>
    <x v="23"/>
    <s v="Christophe"/>
    <x v="14"/>
    <x v="60"/>
    <x v="44"/>
    <d v="2022-05-25T00:00:00"/>
    <n v="650000"/>
    <n v="701389"/>
    <n v="701389"/>
    <n v="0"/>
    <n v="0"/>
    <n v="0"/>
    <n v="0"/>
    <n v="7013.89"/>
    <n v="44375"/>
    <n v="694375"/>
    <n v="2000"/>
    <m/>
    <n v="701389"/>
    <n v="105208"/>
    <x v="8"/>
    <x v="0"/>
    <x v="3"/>
    <x v="14"/>
  </r>
  <r>
    <x v="24"/>
    <s v="S25_2023_3"/>
    <x v="2"/>
    <s v="Maintenance"/>
    <x v="24"/>
    <s v="Doris"/>
    <x v="1"/>
    <x v="60"/>
    <x v="44"/>
    <d v="2022-02-24T00:00:00"/>
    <n v="527000"/>
    <n v="547237"/>
    <n v="547237"/>
    <n v="0"/>
    <n v="0"/>
    <n v="0"/>
    <n v="0"/>
    <n v="5472.37"/>
    <n v="14765"/>
    <n v="541765"/>
    <n v="4000"/>
    <m/>
    <n v="547237"/>
    <n v="82086"/>
    <x v="8"/>
    <x v="1"/>
    <x v="1"/>
    <x v="14"/>
  </r>
  <r>
    <x v="25"/>
    <s v="S26_2023_3"/>
    <x v="0"/>
    <s v="Construction"/>
    <x v="25"/>
    <s v="Anicet"/>
    <x v="5"/>
    <x v="60"/>
    <x v="44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4"/>
  </r>
  <r>
    <x v="27"/>
    <s v="S28_2023_3"/>
    <x v="2"/>
    <s v="Construction"/>
    <x v="27"/>
    <s v="Rodin"/>
    <x v="1"/>
    <x v="60"/>
    <x v="44"/>
    <d v="2022-02-24T00:00:00"/>
    <n v="400000"/>
    <n v="407071"/>
    <n v="407071"/>
    <n v="0"/>
    <n v="0"/>
    <n v="0"/>
    <n v="0"/>
    <n v="4070.71"/>
    <n v="3000"/>
    <n v="403000"/>
    <n v="0"/>
    <m/>
    <n v="407071"/>
    <n v="61061"/>
    <x v="8"/>
    <x v="0"/>
    <x v="1"/>
    <x v="14"/>
  </r>
  <r>
    <x v="29"/>
    <s v="S30_2023_3"/>
    <x v="2"/>
    <s v="Transversal"/>
    <x v="29"/>
    <s v="Marie Jeanne"/>
    <x v="9"/>
    <x v="60"/>
    <x v="44"/>
    <d v="2022-02-24T00:00:00"/>
    <n v="105000"/>
    <n v="109091"/>
    <n v="109091"/>
    <n v="0"/>
    <n v="0"/>
    <n v="0"/>
    <n v="0"/>
    <n v="1090.9100000000001"/>
    <n v="3000"/>
    <n v="108000"/>
    <n v="6000"/>
    <m/>
    <n v="109091"/>
    <n v="16364"/>
    <x v="8"/>
    <x v="0"/>
    <x v="5"/>
    <x v="14"/>
  </r>
  <r>
    <x v="31"/>
    <s v="S32_2023_3"/>
    <x v="0"/>
    <s v="Maintenance"/>
    <x v="31"/>
    <s v="Francot"/>
    <x v="1"/>
    <x v="60"/>
    <x v="44"/>
    <d v="2022-02-24T00:00:00"/>
    <n v="360000"/>
    <n v="366667"/>
    <n v="366667"/>
    <n v="0"/>
    <n v="0"/>
    <n v="0"/>
    <n v="0"/>
    <n v="3666.67"/>
    <n v="3000"/>
    <n v="363000"/>
    <n v="2000"/>
    <m/>
    <n v="366667"/>
    <n v="55000"/>
    <x v="10"/>
    <x v="12"/>
    <x v="1"/>
    <x v="14"/>
  </r>
  <r>
    <x v="32"/>
    <s v="S33_2023_3"/>
    <x v="0"/>
    <s v="Maintenance"/>
    <x v="32"/>
    <s v="Perolin"/>
    <x v="1"/>
    <x v="60"/>
    <x v="44"/>
    <d v="2022-02-24T00:00:00"/>
    <n v="350000"/>
    <n v="356566"/>
    <n v="356566"/>
    <n v="0"/>
    <n v="0"/>
    <n v="0"/>
    <n v="0"/>
    <n v="3565.66"/>
    <n v="3000"/>
    <n v="353000"/>
    <n v="2000"/>
    <m/>
    <n v="356566"/>
    <n v="53485"/>
    <x v="11"/>
    <x v="0"/>
    <x v="1"/>
    <x v="14"/>
  </r>
  <r>
    <x v="30"/>
    <s v="S31_2023_3"/>
    <x v="2"/>
    <s v="Maintenance"/>
    <x v="30"/>
    <s v="Fabiolain"/>
    <x v="1"/>
    <x v="60"/>
    <x v="44"/>
    <d v="2023-03-27T00:00:00"/>
    <e v="#REF!"/>
    <n v="13800"/>
    <e v="#REF!"/>
    <n v="0"/>
    <n v="0"/>
    <n v="0"/>
    <n v="0"/>
    <e v="#REF!"/>
    <e v="#REF!"/>
    <e v="#REF!"/>
    <n v="2000"/>
    <m/>
    <e v="#REF!"/>
    <e v="#REF!"/>
    <x v="9"/>
    <x v="11"/>
    <x v="1"/>
    <x v="14"/>
  </r>
  <r>
    <x v="33"/>
    <s v="S34_2023_3"/>
    <x v="1"/>
    <s v="Transversal"/>
    <x v="33"/>
    <s v="Valérie"/>
    <x v="16"/>
    <x v="60"/>
    <x v="44"/>
    <d v="2022-02-24T00:00:00"/>
    <n v="720000"/>
    <n v="784722"/>
    <n v="784722"/>
    <n v="0"/>
    <n v="0"/>
    <n v="0"/>
    <n v="0"/>
    <n v="7847.22"/>
    <n v="56875"/>
    <n v="776875"/>
    <n v="6000"/>
    <m/>
    <n v="784722"/>
    <n v="117708"/>
    <x v="12"/>
    <x v="0"/>
    <x v="0"/>
    <x v="14"/>
  </r>
  <r>
    <x v="35"/>
    <s v="S36_2023_3"/>
    <x v="2"/>
    <s v="Transversal"/>
    <x v="35"/>
    <s v="Judicaël"/>
    <x v="3"/>
    <x v="60"/>
    <x v="44"/>
    <d v="2023-03-27T00:00:00"/>
    <n v="13100"/>
    <n v="16250"/>
    <n v="16250"/>
    <n v="0"/>
    <n v="0"/>
    <n v="0"/>
    <n v="0"/>
    <n v="162.5"/>
    <n v="3000"/>
    <n v="16088"/>
    <n v="6000"/>
    <m/>
    <n v="16250"/>
    <n v="2438"/>
    <x v="14"/>
    <x v="14"/>
    <x v="1"/>
    <x v="14"/>
  </r>
  <r>
    <x v="37"/>
    <s v="S38_2023_3"/>
    <x v="2"/>
    <s v="Maintenance"/>
    <x v="37"/>
    <s v="Christian"/>
    <x v="7"/>
    <x v="60"/>
    <x v="44"/>
    <d v="2022-12-21T00:00:00"/>
    <n v="502000"/>
    <n v="519905"/>
    <n v="519905"/>
    <n v="0"/>
    <n v="0"/>
    <n v="0"/>
    <n v="0"/>
    <n v="5199.05"/>
    <n v="12706"/>
    <n v="514706"/>
    <n v="2000"/>
    <m/>
    <n v="519905"/>
    <n v="77986"/>
    <x v="16"/>
    <x v="0"/>
    <x v="3"/>
    <x v="14"/>
  </r>
  <r>
    <x v="38"/>
    <s v="S39_2023_3"/>
    <x v="3"/>
    <s v="Maintenance"/>
    <x v="38"/>
    <s v="Lydie"/>
    <x v="19"/>
    <x v="60"/>
    <x v="44"/>
    <d v="2022-07-26T00:00:00"/>
    <n v="810000"/>
    <n v="905934"/>
    <n v="905934"/>
    <n v="0"/>
    <n v="0"/>
    <n v="0"/>
    <n v="0"/>
    <n v="9059.34"/>
    <n v="86875"/>
    <n v="896875"/>
    <n v="0"/>
    <m/>
    <n v="905934"/>
    <n v="135890"/>
    <x v="17"/>
    <x v="0"/>
    <x v="3"/>
    <x v="14"/>
  </r>
  <r>
    <x v="39"/>
    <s v="S40_2023_3"/>
    <x v="3"/>
    <s v="Maintenance"/>
    <x v="39"/>
    <s v="Nalaina"/>
    <x v="20"/>
    <x v="60"/>
    <x v="44"/>
    <d v="2022-07-26T00:00:00"/>
    <n v="820000"/>
    <n v="916035"/>
    <n v="916035"/>
    <n v="0"/>
    <n v="0"/>
    <n v="0"/>
    <n v="0"/>
    <n v="9160.35"/>
    <n v="86875"/>
    <n v="906875"/>
    <n v="2000"/>
    <m/>
    <n v="916035"/>
    <n v="137405"/>
    <x v="17"/>
    <x v="16"/>
    <x v="3"/>
    <x v="14"/>
  </r>
  <r>
    <x v="40"/>
    <s v="S41_2023_3"/>
    <x v="2"/>
    <s v="Transversal"/>
    <x v="40"/>
    <s v="Mimix"/>
    <x v="21"/>
    <x v="60"/>
    <x v="44"/>
    <d v="2022-03-24T00:00:00"/>
    <n v="550000"/>
    <n v="579323"/>
    <n v="579323"/>
    <n v="0"/>
    <n v="0"/>
    <n v="0"/>
    <n v="0"/>
    <n v="5793.23"/>
    <n v="23530"/>
    <n v="573530"/>
    <n v="0"/>
    <m/>
    <n v="579323"/>
    <n v="86898"/>
    <x v="18"/>
    <x v="17"/>
    <x v="3"/>
    <x v="14"/>
  </r>
  <r>
    <x v="41"/>
    <s v="S42_2023_3"/>
    <x v="3"/>
    <s v="Maintenance"/>
    <x v="41"/>
    <s v="Fifaliana"/>
    <x v="1"/>
    <x v="60"/>
    <x v="44"/>
    <d v="2023-03-27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4"/>
  </r>
  <r>
    <x v="42"/>
    <s v="S43_2023_3"/>
    <x v="3"/>
    <s v="Maintenance"/>
    <x v="42"/>
    <s v="Hery"/>
    <x v="1"/>
    <x v="60"/>
    <x v="44"/>
    <d v="2023-03-27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4"/>
  </r>
  <r>
    <x v="44"/>
    <s v="S45_2023_3"/>
    <x v="2"/>
    <s v="Construction"/>
    <x v="44"/>
    <s v="Antonio"/>
    <x v="5"/>
    <x v="60"/>
    <x v="44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19"/>
    <x v="1"/>
    <x v="14"/>
  </r>
  <r>
    <x v="45"/>
    <s v="S46_2023_3"/>
    <x v="2"/>
    <s v="Maintenance"/>
    <x v="45"/>
    <s v="Angeliot"/>
    <x v="1"/>
    <x v="60"/>
    <x v="44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0"/>
    <x v="1"/>
    <x v="14"/>
  </r>
  <r>
    <x v="46"/>
    <s v="S47_2023_3"/>
    <x v="0"/>
    <s v="Construction"/>
    <x v="46"/>
    <s v="Dolin"/>
    <x v="5"/>
    <x v="60"/>
    <x v="44"/>
    <d v="2022-06-23T00:00:00"/>
    <n v="350000"/>
    <n v="356566"/>
    <n v="356566"/>
    <n v="0"/>
    <n v="0"/>
    <n v="0"/>
    <n v="0"/>
    <n v="3565.66"/>
    <n v="3000"/>
    <n v="353000"/>
    <n v="0"/>
    <m/>
    <n v="356566"/>
    <n v="53485"/>
    <x v="20"/>
    <x v="20"/>
    <x v="1"/>
    <x v="14"/>
  </r>
  <r>
    <x v="47"/>
    <s v="S48_2023_3"/>
    <x v="0"/>
    <s v="Maintenance"/>
    <x v="47"/>
    <s v="Seva Christophe"/>
    <x v="1"/>
    <x v="60"/>
    <x v="44"/>
    <d v="2022-06-23T00:00:00"/>
    <n v="350000"/>
    <n v="356566"/>
    <n v="356566"/>
    <n v="0"/>
    <n v="0"/>
    <n v="0"/>
    <n v="0"/>
    <n v="3565.66"/>
    <n v="3000"/>
    <n v="353000"/>
    <n v="2000"/>
    <m/>
    <n v="356566"/>
    <n v="53485"/>
    <x v="20"/>
    <x v="2"/>
    <x v="1"/>
    <x v="14"/>
  </r>
  <r>
    <x v="49"/>
    <s v="S50_2023_3"/>
    <x v="1"/>
    <s v="Transversal"/>
    <x v="49"/>
    <s v="Sandrine"/>
    <x v="22"/>
    <x v="60"/>
    <x v="44"/>
    <d v="2022-07-26T00:00:00"/>
    <n v="500000"/>
    <n v="517528"/>
    <n v="517528"/>
    <n v="0"/>
    <n v="0"/>
    <n v="0"/>
    <n v="0"/>
    <n v="5175.28"/>
    <n v="12353"/>
    <n v="512353"/>
    <n v="2000"/>
    <m/>
    <n v="517528"/>
    <n v="77629"/>
    <x v="21"/>
    <x v="0"/>
    <x v="1"/>
    <x v="14"/>
  </r>
  <r>
    <x v="51"/>
    <s v="S52_2023_3"/>
    <x v="2"/>
    <s v="Transversal"/>
    <x v="51"/>
    <s v="Zefania"/>
    <x v="3"/>
    <x v="60"/>
    <x v="44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4"/>
  </r>
  <r>
    <x v="52"/>
    <s v="S53_2023_3"/>
    <x v="2"/>
    <s v="Maintenance"/>
    <x v="52"/>
    <s v="Ginot"/>
    <x v="1"/>
    <x v="60"/>
    <x v="44"/>
    <d v="2022-09-27T00:00:00"/>
    <e v="#REF!"/>
    <n v="356566"/>
    <e v="#REF!"/>
    <n v="0"/>
    <n v="0"/>
    <n v="0"/>
    <n v="0"/>
    <e v="#REF!"/>
    <e v="#REF!"/>
    <e v="#REF!"/>
    <n v="0"/>
    <m/>
    <e v="#REF!"/>
    <e v="#REF!"/>
    <x v="24"/>
    <x v="0"/>
    <x v="1"/>
    <x v="14"/>
  </r>
  <r>
    <x v="53"/>
    <s v="S54_2023_3"/>
    <x v="0"/>
    <s v="Construction"/>
    <x v="53"/>
    <s v="Frida"/>
    <x v="24"/>
    <x v="60"/>
    <x v="44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4"/>
  </r>
  <r>
    <x v="0"/>
    <s v="S01_2023_4"/>
    <x v="0"/>
    <s v="Maintenance"/>
    <x v="0"/>
    <s v="Gaetan"/>
    <x v="0"/>
    <x v="61"/>
    <x v="45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5"/>
  </r>
  <r>
    <x v="1"/>
    <s v="S02_2023_4"/>
    <x v="0"/>
    <s v="Maintenance"/>
    <x v="1"/>
    <s v="Luo"/>
    <x v="1"/>
    <x v="61"/>
    <x v="45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5"/>
  </r>
  <r>
    <x v="2"/>
    <s v="S03_2023_4"/>
    <x v="0"/>
    <s v="Maintenance"/>
    <x v="2"/>
    <s v="Tsilavina"/>
    <x v="1"/>
    <x v="61"/>
    <x v="45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5"/>
  </r>
  <r>
    <x v="4"/>
    <s v="S05_2023_4"/>
    <x v="0"/>
    <s v="Transversal"/>
    <x v="4"/>
    <s v="Florentin"/>
    <x v="3"/>
    <x v="61"/>
    <x v="45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5"/>
  </r>
  <r>
    <x v="5"/>
    <s v="S06_2023_4"/>
    <x v="1"/>
    <s v="Transversal"/>
    <x v="5"/>
    <s v="Michel"/>
    <x v="4"/>
    <x v="61"/>
    <x v="45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5"/>
  </r>
  <r>
    <x v="7"/>
    <s v="S08_2023_4"/>
    <x v="0"/>
    <s v="Transversal"/>
    <x v="7"/>
    <s v="Onja"/>
    <x v="6"/>
    <x v="61"/>
    <x v="45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5"/>
  </r>
  <r>
    <x v="8"/>
    <s v="S09_2023_4"/>
    <x v="2"/>
    <s v="Maintenance"/>
    <x v="8"/>
    <s v="Rinon"/>
    <x v="1"/>
    <x v="61"/>
    <x v="45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5"/>
  </r>
  <r>
    <x v="9"/>
    <s v="S10_2023_4"/>
    <x v="2"/>
    <s v="Maintenance"/>
    <x v="9"/>
    <s v="Alain"/>
    <x v="7"/>
    <x v="61"/>
    <x v="45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5"/>
  </r>
  <r>
    <x v="10"/>
    <s v="S11_2023_4"/>
    <x v="0"/>
    <s v="Transversal"/>
    <x v="10"/>
    <s v="Raoul"/>
    <x v="8"/>
    <x v="61"/>
    <x v="45"/>
    <d v="2023-04-24T00:00:00"/>
    <n v="505400"/>
    <n v="361400"/>
    <n v="519147"/>
    <n v="27068"/>
    <n v="20623"/>
    <n v="1"/>
    <n v="69"/>
    <n v="5191.47"/>
    <n v="8593"/>
    <n v="513956"/>
    <n v="6000"/>
    <m/>
    <n v="519147"/>
    <n v="77872"/>
    <x v="1"/>
    <x v="0"/>
    <x v="4"/>
    <x v="15"/>
  </r>
  <r>
    <x v="11"/>
    <s v="S12_2023_4"/>
    <x v="0"/>
    <s v="Transversal"/>
    <x v="11"/>
    <s v="Benedictine"/>
    <x v="9"/>
    <x v="61"/>
    <x v="45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5"/>
  </r>
  <r>
    <x v="12"/>
    <s v="S13_2023_4"/>
    <x v="1"/>
    <s v="Transversal"/>
    <x v="12"/>
    <s v="Herizo"/>
    <x v="10"/>
    <x v="61"/>
    <x v="45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5"/>
  </r>
  <r>
    <x v="13"/>
    <s v="S14_2023_4"/>
    <x v="0"/>
    <s v="Transversal"/>
    <x v="13"/>
    <s v="Rene"/>
    <x v="8"/>
    <x v="61"/>
    <x v="45"/>
    <d v="2023-04-24T00:00:00"/>
    <n v="402000"/>
    <n v="361400"/>
    <n v="409091"/>
    <n v="27068"/>
    <n v="20623"/>
    <n v="0"/>
    <n v="0"/>
    <n v="4090.91"/>
    <n v="3000"/>
    <n v="405000"/>
    <n v="8000"/>
    <m/>
    <n v="409091"/>
    <n v="61364"/>
    <x v="1"/>
    <x v="0"/>
    <x v="4"/>
    <x v="15"/>
  </r>
  <r>
    <x v="14"/>
    <s v="S15_2023_4"/>
    <x v="2"/>
    <s v="Transversal"/>
    <x v="14"/>
    <s v="Chrisos"/>
    <x v="11"/>
    <x v="61"/>
    <x v="45"/>
    <d v="2023-03-27T00:00:00"/>
    <n v="1250000"/>
    <n v="1461490"/>
    <n v="1461490"/>
    <n v="0"/>
    <n v="0"/>
    <n v="0"/>
    <n v="0"/>
    <n v="14614.9"/>
    <n v="196875"/>
    <n v="1446875"/>
    <n v="0"/>
    <m/>
    <n v="1461490"/>
    <n v="219224"/>
    <x v="1"/>
    <x v="5"/>
    <x v="0"/>
    <x v="15"/>
  </r>
  <r>
    <x v="15"/>
    <s v="S16_2023_4"/>
    <x v="0"/>
    <s v="Maintenance"/>
    <x v="15"/>
    <s v="Victorien"/>
    <x v="7"/>
    <x v="61"/>
    <x v="45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5"/>
  </r>
  <r>
    <x v="16"/>
    <s v="S17_2023_4"/>
    <x v="0"/>
    <s v="Transversal"/>
    <x v="16"/>
    <s v="Velonasy"/>
    <x v="8"/>
    <x v="61"/>
    <x v="45"/>
    <d v="2023-04-24T00:00:00"/>
    <n v="479600"/>
    <n v="361400"/>
    <n v="489402"/>
    <n v="27068"/>
    <n v="20623"/>
    <n v="1"/>
    <n v="49"/>
    <n v="4894.0200000000004"/>
    <n v="4951"/>
    <n v="484508"/>
    <n v="6000"/>
    <m/>
    <n v="489402"/>
    <n v="73410"/>
    <x v="1"/>
    <x v="0"/>
    <x v="4"/>
    <x v="15"/>
  </r>
  <r>
    <x v="18"/>
    <s v="S19_2023_4"/>
    <x v="0"/>
    <s v="Maintenance"/>
    <x v="18"/>
    <s v="Faly"/>
    <x v="7"/>
    <x v="61"/>
    <x v="45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5"/>
  </r>
  <r>
    <x v="19"/>
    <s v="S20_2023_4"/>
    <x v="3"/>
    <s v="Maintenance"/>
    <x v="19"/>
    <s v="Manitrasina"/>
    <x v="1"/>
    <x v="61"/>
    <x v="45"/>
    <d v="2023-04-26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5"/>
  </r>
  <r>
    <x v="23"/>
    <s v="S24_2023_4"/>
    <x v="2"/>
    <s v="Transversal"/>
    <x v="23"/>
    <s v="Christophe"/>
    <x v="14"/>
    <x v="61"/>
    <x v="45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5"/>
  </r>
  <r>
    <x v="24"/>
    <s v="S25_2023_4"/>
    <x v="2"/>
    <s v="Maintenance"/>
    <x v="24"/>
    <s v="Doris"/>
    <x v="1"/>
    <x v="61"/>
    <x v="45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5"/>
  </r>
  <r>
    <x v="25"/>
    <s v="S26_2023_4"/>
    <x v="0"/>
    <s v="Construction"/>
    <x v="25"/>
    <s v="Anicet"/>
    <x v="5"/>
    <x v="61"/>
    <x v="45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5"/>
  </r>
  <r>
    <x v="27"/>
    <s v="S28_2023_4"/>
    <x v="2"/>
    <s v="Construction"/>
    <x v="27"/>
    <s v="Rodin"/>
    <x v="1"/>
    <x v="61"/>
    <x v="45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5"/>
  </r>
  <r>
    <x v="29"/>
    <s v="S30_2023_4"/>
    <x v="2"/>
    <s v="Transversal"/>
    <x v="29"/>
    <s v="Marie Jeanne"/>
    <x v="9"/>
    <x v="61"/>
    <x v="45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5"/>
  </r>
  <r>
    <x v="31"/>
    <s v="S32_2023_4"/>
    <x v="0"/>
    <s v="Maintenance"/>
    <x v="31"/>
    <s v="Francot"/>
    <x v="1"/>
    <x v="61"/>
    <x v="45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5"/>
  </r>
  <r>
    <x v="32"/>
    <s v="S33_2023_4"/>
    <x v="0"/>
    <s v="Maintenance"/>
    <x v="32"/>
    <s v="Perolin"/>
    <x v="1"/>
    <x v="61"/>
    <x v="45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5"/>
  </r>
  <r>
    <x v="30"/>
    <s v="S31_2023_4"/>
    <x v="2"/>
    <s v="Maintenance"/>
    <x v="30"/>
    <s v="Fabiolain"/>
    <x v="1"/>
    <x v="61"/>
    <x v="45"/>
    <d v="2023-04-26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5"/>
  </r>
  <r>
    <x v="33"/>
    <s v="S34_2023_4"/>
    <x v="1"/>
    <s v="Transversal"/>
    <x v="33"/>
    <s v="Valérie"/>
    <x v="16"/>
    <x v="61"/>
    <x v="45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5"/>
  </r>
  <r>
    <x v="35"/>
    <s v="S36_2023_4"/>
    <x v="2"/>
    <s v="Transversal"/>
    <x v="35"/>
    <s v="Judicaël"/>
    <x v="3"/>
    <x v="61"/>
    <x v="45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5"/>
  </r>
  <r>
    <x v="37"/>
    <s v="S38_2023_4"/>
    <x v="2"/>
    <s v="Maintenance"/>
    <x v="37"/>
    <s v="Christian"/>
    <x v="7"/>
    <x v="61"/>
    <x v="45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5"/>
  </r>
  <r>
    <x v="38"/>
    <s v="S39_2023_4"/>
    <x v="3"/>
    <s v="Maintenance"/>
    <x v="38"/>
    <s v="Lydie"/>
    <x v="19"/>
    <x v="61"/>
    <x v="45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5"/>
  </r>
  <r>
    <x v="39"/>
    <s v="S40_2023_4"/>
    <x v="3"/>
    <s v="Maintenance"/>
    <x v="39"/>
    <s v="Nalaina"/>
    <x v="20"/>
    <x v="61"/>
    <x v="45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5"/>
  </r>
  <r>
    <x v="41"/>
    <s v="S42_2023_4"/>
    <x v="3"/>
    <s v="Maintenance"/>
    <x v="41"/>
    <s v="Fifaliana"/>
    <x v="1"/>
    <x v="61"/>
    <x v="45"/>
    <d v="2023-04-26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5"/>
  </r>
  <r>
    <x v="42"/>
    <s v="S43_2023_4"/>
    <x v="3"/>
    <s v="Maintenance"/>
    <x v="42"/>
    <s v="Hery"/>
    <x v="1"/>
    <x v="61"/>
    <x v="45"/>
    <d v="2023-04-26T00:00:00"/>
    <n v="10860"/>
    <n v="14000"/>
    <n v="14000"/>
    <n v="0"/>
    <n v="0"/>
    <n v="0"/>
    <n v="0"/>
    <n v="140"/>
    <n v="3000"/>
    <n v="13860"/>
    <n v="2000"/>
    <m/>
    <n v="14000"/>
    <n v="2100"/>
    <x v="19"/>
    <x v="0"/>
    <x v="1"/>
    <x v="15"/>
  </r>
  <r>
    <x v="44"/>
    <s v="S45_2023_4"/>
    <x v="2"/>
    <s v="Construction"/>
    <x v="44"/>
    <s v="Antonio"/>
    <x v="5"/>
    <x v="61"/>
    <x v="45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5"/>
  </r>
  <r>
    <x v="45"/>
    <s v="S46_2023_4"/>
    <x v="2"/>
    <s v="Maintenance"/>
    <x v="45"/>
    <s v="Angeliot"/>
    <x v="1"/>
    <x v="61"/>
    <x v="45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5"/>
  </r>
  <r>
    <x v="47"/>
    <s v="S48_2023_4"/>
    <x v="0"/>
    <s v="Maintenance"/>
    <x v="47"/>
    <s v="Seva Christophe"/>
    <x v="1"/>
    <x v="61"/>
    <x v="45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5"/>
  </r>
  <r>
    <x v="49"/>
    <s v="S50_2023_4"/>
    <x v="1"/>
    <s v="Transversal"/>
    <x v="49"/>
    <s v="Sandrine"/>
    <x v="22"/>
    <x v="61"/>
    <x v="45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5"/>
  </r>
  <r>
    <x v="51"/>
    <s v="S52_2023_4"/>
    <x v="2"/>
    <s v="Transversal"/>
    <x v="51"/>
    <s v="Zefania"/>
    <x v="3"/>
    <x v="61"/>
    <x v="45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5"/>
  </r>
  <r>
    <x v="52"/>
    <s v="S53_2023_4"/>
    <x v="2"/>
    <s v="Maintenance"/>
    <x v="52"/>
    <s v="Ginot"/>
    <x v="1"/>
    <x v="61"/>
    <x v="45"/>
    <d v="2023-04-24T00:00:00"/>
    <e v="#REF!"/>
    <n v="10320"/>
    <e v="#REF!"/>
    <n v="0"/>
    <n v="0"/>
    <n v="0"/>
    <n v="0"/>
    <e v="#REF!"/>
    <e v="#REF!"/>
    <e v="#REF!"/>
    <n v="0"/>
    <m/>
    <e v="#REF!"/>
    <e v="#REF!"/>
    <x v="24"/>
    <x v="0"/>
    <x v="1"/>
    <x v="15"/>
  </r>
  <r>
    <x v="53"/>
    <s v="S54_2023_4"/>
    <x v="0"/>
    <s v="Construction"/>
    <x v="53"/>
    <s v="Frida"/>
    <x v="24"/>
    <x v="61"/>
    <x v="45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5"/>
  </r>
  <r>
    <x v="55"/>
    <s v="S56_2023_4"/>
    <x v="2"/>
    <s v="Construction"/>
    <x v="55"/>
    <s v="Irène"/>
    <x v="24"/>
    <x v="61"/>
    <x v="45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5"/>
  </r>
  <r>
    <x v="55"/>
    <s v="S56_2023_3"/>
    <x v="2"/>
    <s v="Construction"/>
    <x v="55"/>
    <s v="Irène"/>
    <x v="24"/>
    <x v="60"/>
    <x v="44"/>
    <d v="2023-03-27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4"/>
  </r>
  <r>
    <x v="8"/>
    <s v="S09_2023_5"/>
    <x v="2"/>
    <s v="Maintenance"/>
    <x v="8"/>
    <s v="Rinon"/>
    <x v="1"/>
    <x v="62"/>
    <x v="46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5"/>
  </r>
  <r>
    <x v="9"/>
    <s v="S10_2023_5"/>
    <x v="2"/>
    <s v="Maintenance"/>
    <x v="9"/>
    <s v="Alain"/>
    <x v="7"/>
    <x v="62"/>
    <x v="46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5"/>
  </r>
  <r>
    <x v="24"/>
    <s v="S25_2023_5"/>
    <x v="2"/>
    <s v="Maintenance"/>
    <x v="24"/>
    <s v="Doris"/>
    <x v="1"/>
    <x v="62"/>
    <x v="46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5"/>
  </r>
  <r>
    <x v="30"/>
    <s v="S31_2023_5"/>
    <x v="2"/>
    <s v="Maintenance"/>
    <x v="30"/>
    <s v="Fabiolain"/>
    <x v="1"/>
    <x v="62"/>
    <x v="46"/>
    <d v="2023-03-27T00:00:00"/>
    <e v="#REF!"/>
    <n v="13800"/>
    <e v="#REF!"/>
    <n v="0"/>
    <n v="0"/>
    <n v="0"/>
    <n v="0"/>
    <e v="#REF!"/>
    <e v="#REF!"/>
    <e v="#REF!"/>
    <n v="2000"/>
    <m/>
    <e v="#REF!"/>
    <e v="#REF!"/>
    <x v="9"/>
    <x v="11"/>
    <x v="1"/>
    <x v="15"/>
  </r>
  <r>
    <x v="52"/>
    <s v="S53_2023_5"/>
    <x v="2"/>
    <s v="Maintenance"/>
    <x v="52"/>
    <s v="Ginot"/>
    <x v="1"/>
    <x v="62"/>
    <x v="46"/>
    <d v="2023-05-26T00:00:00"/>
    <e v="#REF!"/>
    <n v="10320"/>
    <e v="#REF!"/>
    <n v="0"/>
    <n v="0"/>
    <n v="0"/>
    <n v="0"/>
    <e v="#REF!"/>
    <e v="#REF!"/>
    <e v="#REF!"/>
    <n v="0"/>
    <m/>
    <e v="#REF!"/>
    <e v="#REF!"/>
    <x v="24"/>
    <x v="0"/>
    <x v="1"/>
    <x v="15"/>
  </r>
  <r>
    <x v="19"/>
    <s v="S20_2023_5"/>
    <x v="3"/>
    <s v="Maintenance"/>
    <x v="19"/>
    <s v="Manitrasina"/>
    <x v="1"/>
    <x v="62"/>
    <x v="46"/>
    <d v="2023-05-26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5"/>
  </r>
  <r>
    <x v="41"/>
    <s v="S42_2023_5"/>
    <x v="3"/>
    <s v="Maintenance"/>
    <x v="41"/>
    <s v="Fifaliana"/>
    <x v="1"/>
    <x v="62"/>
    <x v="46"/>
    <d v="2023-05-26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5"/>
  </r>
  <r>
    <x v="42"/>
    <s v="S43_2023_5"/>
    <x v="3"/>
    <s v="Maintenance"/>
    <x v="42"/>
    <s v="Hery"/>
    <x v="1"/>
    <x v="62"/>
    <x v="46"/>
    <d v="2023-05-26T00:00:00"/>
    <n v="10860"/>
    <n v="14000"/>
    <n v="14000"/>
    <n v="0"/>
    <n v="0"/>
    <n v="0"/>
    <n v="0"/>
    <n v="140"/>
    <n v="3000"/>
    <n v="13860"/>
    <n v="2000"/>
    <m/>
    <n v="14000"/>
    <n v="2100"/>
    <x v="19"/>
    <x v="0"/>
    <x v="1"/>
    <x v="15"/>
  </r>
  <r>
    <x v="1"/>
    <s v="S02_2023_5"/>
    <x v="0"/>
    <s v="Maintenance"/>
    <x v="1"/>
    <s v="Luo"/>
    <x v="1"/>
    <x v="62"/>
    <x v="46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5"/>
  </r>
  <r>
    <x v="2"/>
    <s v="S03_2023_5"/>
    <x v="0"/>
    <s v="Maintenance"/>
    <x v="2"/>
    <s v="Tsilavina"/>
    <x v="1"/>
    <x v="62"/>
    <x v="46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5"/>
  </r>
  <r>
    <x v="31"/>
    <s v="S32_2023_5"/>
    <x v="0"/>
    <s v="Maintenance"/>
    <x v="31"/>
    <s v="Francot"/>
    <x v="1"/>
    <x v="62"/>
    <x v="46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5"/>
  </r>
  <r>
    <x v="32"/>
    <s v="S33_2023_5"/>
    <x v="0"/>
    <s v="Maintenance"/>
    <x v="32"/>
    <s v="Perolin"/>
    <x v="1"/>
    <x v="62"/>
    <x v="46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5"/>
  </r>
  <r>
    <x v="47"/>
    <s v="S48_2023_5"/>
    <x v="0"/>
    <s v="Maintenance"/>
    <x v="47"/>
    <s v="Seva Christophe"/>
    <x v="1"/>
    <x v="62"/>
    <x v="46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5"/>
  </r>
  <r>
    <x v="27"/>
    <s v="S28_2023_5"/>
    <x v="2"/>
    <s v="Construction"/>
    <x v="27"/>
    <s v="Rodin"/>
    <x v="1"/>
    <x v="62"/>
    <x v="46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5"/>
  </r>
  <r>
    <x v="44"/>
    <s v="S45_2023_5"/>
    <x v="2"/>
    <s v="Construction"/>
    <x v="44"/>
    <s v="Antonio"/>
    <x v="5"/>
    <x v="62"/>
    <x v="46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5"/>
  </r>
  <r>
    <x v="45"/>
    <s v="S46_2023_5"/>
    <x v="2"/>
    <s v="Maintenance"/>
    <x v="45"/>
    <s v="Angeliot"/>
    <x v="1"/>
    <x v="62"/>
    <x v="46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5"/>
  </r>
  <r>
    <x v="15"/>
    <s v="S16_2023_5"/>
    <x v="0"/>
    <s v="Maintenance"/>
    <x v="15"/>
    <s v="Victorien"/>
    <x v="7"/>
    <x v="62"/>
    <x v="46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5"/>
  </r>
  <r>
    <x v="25"/>
    <s v="S26_2023_5"/>
    <x v="0"/>
    <s v="Construction"/>
    <x v="25"/>
    <s v="Anicet"/>
    <x v="5"/>
    <x v="62"/>
    <x v="46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5"/>
  </r>
  <r>
    <x v="39"/>
    <s v="S40_2023_5"/>
    <x v="3"/>
    <s v="Maintenance"/>
    <x v="39"/>
    <s v="Nalaina"/>
    <x v="20"/>
    <x v="62"/>
    <x v="46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5"/>
  </r>
  <r>
    <x v="49"/>
    <s v="S50_2023_5"/>
    <x v="1"/>
    <s v="Transversal"/>
    <x v="49"/>
    <s v="Sandrine"/>
    <x v="22"/>
    <x v="62"/>
    <x v="46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5"/>
  </r>
  <r>
    <x v="38"/>
    <s v="S39_2023_5"/>
    <x v="3"/>
    <s v="Maintenance"/>
    <x v="38"/>
    <s v="Lydie"/>
    <x v="19"/>
    <x v="62"/>
    <x v="46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5"/>
  </r>
  <r>
    <x v="55"/>
    <s v="S56_2023_5"/>
    <x v="2"/>
    <s v="Construction"/>
    <x v="55"/>
    <s v="Irène"/>
    <x v="24"/>
    <x v="62"/>
    <x v="46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5"/>
  </r>
  <r>
    <x v="53"/>
    <s v="S54_2023_5"/>
    <x v="0"/>
    <s v="Construction"/>
    <x v="53"/>
    <s v="Frida"/>
    <x v="24"/>
    <x v="62"/>
    <x v="46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5"/>
  </r>
  <r>
    <x v="37"/>
    <s v="S38_2023_5"/>
    <x v="2"/>
    <s v="Maintenance"/>
    <x v="37"/>
    <s v="Christian"/>
    <x v="7"/>
    <x v="62"/>
    <x v="46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5"/>
  </r>
  <r>
    <x v="18"/>
    <s v="S19_2023_5"/>
    <x v="0"/>
    <s v="Maintenance"/>
    <x v="18"/>
    <s v="Faly"/>
    <x v="7"/>
    <x v="62"/>
    <x v="46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5"/>
  </r>
  <r>
    <x v="7"/>
    <s v="S08_2023_5"/>
    <x v="0"/>
    <s v="Transversal"/>
    <x v="7"/>
    <s v="Onja"/>
    <x v="6"/>
    <x v="62"/>
    <x v="46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5"/>
  </r>
  <r>
    <x v="14"/>
    <s v="S15_2023_5"/>
    <x v="2"/>
    <s v="Transversal"/>
    <x v="14"/>
    <s v="Chrisos"/>
    <x v="11"/>
    <x v="62"/>
    <x v="46"/>
    <d v="2023-03-27T00:00:00"/>
    <n v="1250000"/>
    <n v="1461490"/>
    <n v="1461490"/>
    <n v="0"/>
    <n v="0"/>
    <n v="0"/>
    <n v="0"/>
    <n v="14614.9"/>
    <n v="196875"/>
    <n v="1446875"/>
    <n v="0"/>
    <m/>
    <n v="1461490"/>
    <n v="219224"/>
    <x v="1"/>
    <x v="5"/>
    <x v="0"/>
    <x v="15"/>
  </r>
  <r>
    <x v="0"/>
    <s v="S01_2023_5"/>
    <x v="0"/>
    <s v="Maintenance"/>
    <x v="0"/>
    <s v="Gaetan"/>
    <x v="0"/>
    <x v="62"/>
    <x v="46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5"/>
  </r>
  <r>
    <x v="12"/>
    <s v="S13_2023_5"/>
    <x v="1"/>
    <s v="Transversal"/>
    <x v="12"/>
    <s v="Herizo"/>
    <x v="10"/>
    <x v="62"/>
    <x v="46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5"/>
  </r>
  <r>
    <x v="29"/>
    <s v="S30_2023_5"/>
    <x v="2"/>
    <s v="Transversal"/>
    <x v="29"/>
    <s v="Marie Jeanne"/>
    <x v="9"/>
    <x v="62"/>
    <x v="46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5"/>
  </r>
  <r>
    <x v="11"/>
    <s v="S12_2023_5"/>
    <x v="0"/>
    <s v="Transversal"/>
    <x v="11"/>
    <s v="Benedictine"/>
    <x v="9"/>
    <x v="62"/>
    <x v="46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5"/>
  </r>
  <r>
    <x v="10"/>
    <s v="S11_2023_5"/>
    <x v="0"/>
    <s v="Transversal"/>
    <x v="10"/>
    <s v="Raoul"/>
    <x v="8"/>
    <x v="62"/>
    <x v="46"/>
    <d v="2023-05-26T00:00:00"/>
    <n v="409400"/>
    <n v="361400"/>
    <n v="416527"/>
    <n v="27068"/>
    <n v="20623"/>
    <n v="1"/>
    <n v="0"/>
    <n v="4165.2700000000004"/>
    <n v="3000"/>
    <n v="412362"/>
    <n v="6000"/>
    <m/>
    <n v="416527"/>
    <n v="62479"/>
    <x v="1"/>
    <x v="0"/>
    <x v="4"/>
    <x v="15"/>
  </r>
  <r>
    <x v="13"/>
    <s v="S14_2023_5"/>
    <x v="0"/>
    <s v="Transversal"/>
    <x v="13"/>
    <s v="Rene"/>
    <x v="8"/>
    <x v="62"/>
    <x v="46"/>
    <d v="2023-05-26T00:00:00"/>
    <n v="506100"/>
    <n v="361400"/>
    <n v="517659"/>
    <n v="27068"/>
    <n v="20623"/>
    <n v="2"/>
    <n v="63"/>
    <n v="5176.59"/>
    <n v="6372"/>
    <n v="512482"/>
    <n v="8000"/>
    <m/>
    <n v="517659"/>
    <n v="77649"/>
    <x v="1"/>
    <x v="0"/>
    <x v="4"/>
    <x v="15"/>
  </r>
  <r>
    <x v="16"/>
    <s v="S17_2023_5"/>
    <x v="0"/>
    <s v="Transversal"/>
    <x v="16"/>
    <s v="Velonasy"/>
    <x v="8"/>
    <x v="62"/>
    <x v="46"/>
    <d v="2023-05-26T00:00:00"/>
    <n v="409400"/>
    <n v="361400"/>
    <n v="416527"/>
    <n v="27068"/>
    <n v="20623"/>
    <n v="1"/>
    <n v="0"/>
    <n v="4165.2700000000004"/>
    <n v="3000"/>
    <n v="412362"/>
    <n v="6000"/>
    <m/>
    <n v="416527"/>
    <n v="62479"/>
    <x v="1"/>
    <x v="0"/>
    <x v="4"/>
    <x v="15"/>
  </r>
  <r>
    <x v="5"/>
    <s v="S06_2023_5"/>
    <x v="1"/>
    <s v="Transversal"/>
    <x v="5"/>
    <s v="Michel"/>
    <x v="4"/>
    <x v="62"/>
    <x v="46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5"/>
  </r>
  <r>
    <x v="33"/>
    <s v="S34_2023_5"/>
    <x v="1"/>
    <s v="Transversal"/>
    <x v="33"/>
    <s v="Valérie"/>
    <x v="16"/>
    <x v="62"/>
    <x v="46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5"/>
  </r>
  <r>
    <x v="23"/>
    <s v="S24_2023_5"/>
    <x v="2"/>
    <s v="Transversal"/>
    <x v="23"/>
    <s v="Christophe"/>
    <x v="14"/>
    <x v="62"/>
    <x v="46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5"/>
  </r>
  <r>
    <x v="35"/>
    <s v="S36_2023_5"/>
    <x v="2"/>
    <s v="Transversal"/>
    <x v="35"/>
    <s v="Judicaël"/>
    <x v="3"/>
    <x v="62"/>
    <x v="46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5"/>
  </r>
  <r>
    <x v="51"/>
    <s v="S52_2023_5"/>
    <x v="2"/>
    <s v="Transversal"/>
    <x v="51"/>
    <s v="Zefania"/>
    <x v="3"/>
    <x v="62"/>
    <x v="46"/>
    <d v="2022-07-26T00:00:00"/>
    <n v="450000"/>
    <n v="460718"/>
    <n v="460718"/>
    <n v="0"/>
    <n v="0"/>
    <n v="0"/>
    <n v="0"/>
    <n v="4607.18"/>
    <n v="6111"/>
    <n v="456111"/>
    <n v="2000"/>
    <m/>
    <n v="460718"/>
    <n v="69108"/>
    <x v="23"/>
    <x v="22"/>
    <x v="1"/>
    <x v="15"/>
  </r>
  <r>
    <x v="4"/>
    <s v="S05_2023_5"/>
    <x v="0"/>
    <s v="Transversal"/>
    <x v="4"/>
    <s v="Florentin"/>
    <x v="3"/>
    <x v="62"/>
    <x v="46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5"/>
  </r>
  <r>
    <x v="8"/>
    <s v="S09_2023_6"/>
    <x v="2"/>
    <s v="Maintenance"/>
    <x v="8"/>
    <s v="Rinon"/>
    <x v="1"/>
    <x v="63"/>
    <x v="47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5"/>
  </r>
  <r>
    <x v="9"/>
    <s v="S10_2023_6"/>
    <x v="2"/>
    <s v="Maintenance"/>
    <x v="9"/>
    <s v="Alain"/>
    <x v="7"/>
    <x v="63"/>
    <x v="47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5"/>
  </r>
  <r>
    <x v="24"/>
    <s v="S25_2023_6"/>
    <x v="2"/>
    <s v="Maintenance"/>
    <x v="24"/>
    <s v="Doris"/>
    <x v="1"/>
    <x v="63"/>
    <x v="47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5"/>
  </r>
  <r>
    <x v="30"/>
    <s v="S31_2023_6"/>
    <x v="2"/>
    <s v="Maintenance"/>
    <x v="30"/>
    <s v="Fabiolain"/>
    <x v="1"/>
    <x v="63"/>
    <x v="47"/>
    <d v="2023-06-23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5"/>
  </r>
  <r>
    <x v="52"/>
    <s v="S53_2023_6"/>
    <x v="2"/>
    <s v="Maintenance"/>
    <x v="52"/>
    <s v="Ginot"/>
    <x v="1"/>
    <x v="63"/>
    <x v="47"/>
    <d v="2023-06-23T00:00:00"/>
    <e v="#REF!"/>
    <n v="10320"/>
    <e v="#REF!"/>
    <n v="0"/>
    <n v="0"/>
    <n v="0"/>
    <n v="0"/>
    <e v="#REF!"/>
    <e v="#REF!"/>
    <e v="#REF!"/>
    <n v="0"/>
    <m/>
    <e v="#REF!"/>
    <e v="#REF!"/>
    <x v="24"/>
    <x v="0"/>
    <x v="1"/>
    <x v="15"/>
  </r>
  <r>
    <x v="19"/>
    <s v="S20_2023_6"/>
    <x v="3"/>
    <s v="Maintenance"/>
    <x v="19"/>
    <s v="Manitrasina"/>
    <x v="1"/>
    <x v="63"/>
    <x v="47"/>
    <d v="2023-06-23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5"/>
  </r>
  <r>
    <x v="41"/>
    <s v="S42_2023_6"/>
    <x v="3"/>
    <s v="Maintenance"/>
    <x v="41"/>
    <s v="Fifaliana"/>
    <x v="1"/>
    <x v="63"/>
    <x v="47"/>
    <d v="2023-06-23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5"/>
  </r>
  <r>
    <x v="42"/>
    <s v="S43_2023_6"/>
    <x v="3"/>
    <s v="Maintenance"/>
    <x v="42"/>
    <s v="Hery"/>
    <x v="1"/>
    <x v="63"/>
    <x v="47"/>
    <d v="2023-06-23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5"/>
  </r>
  <r>
    <x v="1"/>
    <s v="S02_2023_6"/>
    <x v="0"/>
    <s v="Maintenance"/>
    <x v="1"/>
    <s v="Luo"/>
    <x v="1"/>
    <x v="63"/>
    <x v="47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5"/>
  </r>
  <r>
    <x v="2"/>
    <s v="S03_2023_6"/>
    <x v="0"/>
    <s v="Maintenance"/>
    <x v="2"/>
    <s v="Tsilavina"/>
    <x v="1"/>
    <x v="63"/>
    <x v="47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5"/>
  </r>
  <r>
    <x v="31"/>
    <s v="S32_2023_6"/>
    <x v="0"/>
    <s v="Maintenance"/>
    <x v="31"/>
    <s v="Francot"/>
    <x v="1"/>
    <x v="63"/>
    <x v="47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5"/>
  </r>
  <r>
    <x v="32"/>
    <s v="S33_2023_6"/>
    <x v="0"/>
    <s v="Maintenance"/>
    <x v="32"/>
    <s v="Perolin"/>
    <x v="1"/>
    <x v="63"/>
    <x v="47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5"/>
  </r>
  <r>
    <x v="47"/>
    <s v="S48_2023_6"/>
    <x v="0"/>
    <s v="Maintenance"/>
    <x v="47"/>
    <s v="Seva Christophe"/>
    <x v="1"/>
    <x v="63"/>
    <x v="47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5"/>
  </r>
  <r>
    <x v="27"/>
    <s v="S28_2023_6"/>
    <x v="2"/>
    <s v="Construction"/>
    <x v="27"/>
    <s v="Rodin"/>
    <x v="1"/>
    <x v="63"/>
    <x v="47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5"/>
  </r>
  <r>
    <x v="44"/>
    <s v="S45_2023_6"/>
    <x v="2"/>
    <s v="Construction"/>
    <x v="44"/>
    <s v="Antonio"/>
    <x v="5"/>
    <x v="63"/>
    <x v="47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5"/>
  </r>
  <r>
    <x v="45"/>
    <s v="S46_2023_6"/>
    <x v="2"/>
    <s v="Maintenance"/>
    <x v="45"/>
    <s v="Angeliot"/>
    <x v="1"/>
    <x v="63"/>
    <x v="47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5"/>
  </r>
  <r>
    <x v="15"/>
    <s v="S16_2023_6"/>
    <x v="0"/>
    <s v="Maintenance"/>
    <x v="15"/>
    <s v="Victorien"/>
    <x v="7"/>
    <x v="63"/>
    <x v="47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5"/>
  </r>
  <r>
    <x v="25"/>
    <s v="S26_2023_6"/>
    <x v="0"/>
    <s v="Construction"/>
    <x v="25"/>
    <s v="Anicet"/>
    <x v="5"/>
    <x v="63"/>
    <x v="47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5"/>
  </r>
  <r>
    <x v="39"/>
    <s v="S40_2023_6"/>
    <x v="3"/>
    <s v="Maintenance"/>
    <x v="39"/>
    <s v="Nalaina"/>
    <x v="20"/>
    <x v="63"/>
    <x v="47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5"/>
  </r>
  <r>
    <x v="49"/>
    <s v="S50_2023_6"/>
    <x v="1"/>
    <s v="Transversal"/>
    <x v="49"/>
    <s v="Sandrine"/>
    <x v="22"/>
    <x v="63"/>
    <x v="47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5"/>
  </r>
  <r>
    <x v="38"/>
    <s v="S39_2023_6"/>
    <x v="3"/>
    <s v="Maintenance"/>
    <x v="38"/>
    <s v="Lydie"/>
    <x v="19"/>
    <x v="63"/>
    <x v="47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5"/>
  </r>
  <r>
    <x v="55"/>
    <s v="S56_2023_6"/>
    <x v="2"/>
    <s v="Construction"/>
    <x v="55"/>
    <s v="Irène"/>
    <x v="24"/>
    <x v="63"/>
    <x v="47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5"/>
  </r>
  <r>
    <x v="53"/>
    <s v="S54_2023_6"/>
    <x v="0"/>
    <s v="Construction"/>
    <x v="53"/>
    <s v="Frida"/>
    <x v="24"/>
    <x v="63"/>
    <x v="47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5"/>
  </r>
  <r>
    <x v="37"/>
    <s v="S38_2023_6"/>
    <x v="2"/>
    <s v="Maintenance"/>
    <x v="37"/>
    <s v="Christian"/>
    <x v="7"/>
    <x v="63"/>
    <x v="47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5"/>
  </r>
  <r>
    <x v="18"/>
    <s v="S19_2023_6"/>
    <x v="0"/>
    <s v="Maintenance"/>
    <x v="18"/>
    <s v="Faly"/>
    <x v="7"/>
    <x v="63"/>
    <x v="47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5"/>
  </r>
  <r>
    <x v="7"/>
    <s v="S08_2023_6"/>
    <x v="0"/>
    <s v="Transversal"/>
    <x v="7"/>
    <s v="Onja"/>
    <x v="6"/>
    <x v="63"/>
    <x v="47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5"/>
  </r>
  <r>
    <x v="14"/>
    <s v="S15_2023_6"/>
    <x v="2"/>
    <s v="Transversal"/>
    <x v="14"/>
    <s v="Chrisos"/>
    <x v="11"/>
    <x v="63"/>
    <x v="47"/>
    <d v="2023-03-27T00:00:00"/>
    <n v="1250000"/>
    <n v="1461490"/>
    <n v="1461490"/>
    <n v="0"/>
    <n v="0"/>
    <n v="0"/>
    <n v="0"/>
    <n v="14614.9"/>
    <n v="196875"/>
    <n v="1446875"/>
    <n v="0"/>
    <m/>
    <n v="1461490"/>
    <n v="219224"/>
    <x v="1"/>
    <x v="5"/>
    <x v="0"/>
    <x v="15"/>
  </r>
  <r>
    <x v="0"/>
    <s v="S01_2023_6"/>
    <x v="0"/>
    <s v="Maintenance"/>
    <x v="0"/>
    <s v="Gaetan"/>
    <x v="0"/>
    <x v="63"/>
    <x v="47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5"/>
  </r>
  <r>
    <x v="12"/>
    <s v="S13_2023_6"/>
    <x v="1"/>
    <s v="Transversal"/>
    <x v="12"/>
    <s v="Herizo"/>
    <x v="10"/>
    <x v="63"/>
    <x v="47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5"/>
  </r>
  <r>
    <x v="29"/>
    <s v="S30_2023_6"/>
    <x v="2"/>
    <s v="Transversal"/>
    <x v="29"/>
    <s v="Marie Jeanne"/>
    <x v="9"/>
    <x v="63"/>
    <x v="47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5"/>
  </r>
  <r>
    <x v="11"/>
    <s v="S12_2023_6"/>
    <x v="0"/>
    <s v="Transversal"/>
    <x v="11"/>
    <s v="Benedictine"/>
    <x v="9"/>
    <x v="63"/>
    <x v="47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5"/>
  </r>
  <r>
    <x v="10"/>
    <s v="S11_2023_6"/>
    <x v="0"/>
    <s v="Transversal"/>
    <x v="10"/>
    <s v="Raoul"/>
    <x v="8"/>
    <x v="63"/>
    <x v="47"/>
    <d v="2023-06-23T00:00:00"/>
    <n v="432900"/>
    <n v="361400"/>
    <n v="440323"/>
    <n v="27068"/>
    <n v="20623"/>
    <n v="0"/>
    <n v="21"/>
    <n v="4403.2299999999996"/>
    <n v="3000"/>
    <n v="435920"/>
    <n v="6000"/>
    <m/>
    <n v="440323"/>
    <n v="66048"/>
    <x v="1"/>
    <x v="0"/>
    <x v="4"/>
    <x v="15"/>
  </r>
  <r>
    <x v="13"/>
    <s v="S14_2023_6"/>
    <x v="0"/>
    <s v="Transversal"/>
    <x v="13"/>
    <s v="Rene"/>
    <x v="8"/>
    <x v="63"/>
    <x v="47"/>
    <d v="2023-06-23T00:00:00"/>
    <n v="481500"/>
    <n v="361400"/>
    <n v="489402"/>
    <n v="27068"/>
    <n v="20623"/>
    <n v="1"/>
    <n v="49"/>
    <n v="4894.0200000000004"/>
    <n v="3000"/>
    <n v="484508"/>
    <n v="8000"/>
    <m/>
    <n v="489402"/>
    <n v="73410"/>
    <x v="1"/>
    <x v="0"/>
    <x v="4"/>
    <x v="15"/>
  </r>
  <r>
    <x v="16"/>
    <s v="S17_2023_6"/>
    <x v="0"/>
    <s v="Transversal"/>
    <x v="16"/>
    <s v="Velonasy"/>
    <x v="8"/>
    <x v="63"/>
    <x v="47"/>
    <d v="2023-06-23T00:00:00"/>
    <n v="409400"/>
    <n v="361400"/>
    <n v="416527"/>
    <n v="27068"/>
    <n v="20623"/>
    <n v="1"/>
    <n v="0"/>
    <n v="4165.2700000000004"/>
    <n v="3000"/>
    <n v="412362"/>
    <n v="6000"/>
    <m/>
    <n v="416527"/>
    <n v="62479"/>
    <x v="1"/>
    <x v="0"/>
    <x v="4"/>
    <x v="15"/>
  </r>
  <r>
    <x v="5"/>
    <s v="S06_2023_6"/>
    <x v="1"/>
    <s v="Transversal"/>
    <x v="5"/>
    <s v="Michel"/>
    <x v="4"/>
    <x v="63"/>
    <x v="47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5"/>
  </r>
  <r>
    <x v="33"/>
    <s v="S34_2023_6"/>
    <x v="1"/>
    <s v="Transversal"/>
    <x v="33"/>
    <s v="Valérie"/>
    <x v="16"/>
    <x v="63"/>
    <x v="47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5"/>
  </r>
  <r>
    <x v="23"/>
    <s v="S24_2023_6"/>
    <x v="2"/>
    <s v="Transversal"/>
    <x v="23"/>
    <s v="Christophe"/>
    <x v="14"/>
    <x v="63"/>
    <x v="47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5"/>
  </r>
  <r>
    <x v="35"/>
    <s v="S36_2023_6"/>
    <x v="2"/>
    <s v="Transversal"/>
    <x v="35"/>
    <s v="Judicaël"/>
    <x v="3"/>
    <x v="63"/>
    <x v="47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5"/>
  </r>
  <r>
    <x v="4"/>
    <s v="S05_2023_6"/>
    <x v="0"/>
    <s v="Transversal"/>
    <x v="4"/>
    <s v="Florentin"/>
    <x v="3"/>
    <x v="63"/>
    <x v="47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5"/>
  </r>
  <r>
    <x v="8"/>
    <s v="S09_2023_7"/>
    <x v="2"/>
    <s v="Maintenance"/>
    <x v="8"/>
    <s v="Rinon"/>
    <x v="1"/>
    <x v="64"/>
    <x v="48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6"/>
  </r>
  <r>
    <x v="9"/>
    <s v="S10_2023_7"/>
    <x v="2"/>
    <s v="Maintenance"/>
    <x v="9"/>
    <s v="Alain"/>
    <x v="7"/>
    <x v="64"/>
    <x v="48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6"/>
  </r>
  <r>
    <x v="24"/>
    <s v="S25_2023_7"/>
    <x v="2"/>
    <s v="Maintenance"/>
    <x v="24"/>
    <s v="Doris"/>
    <x v="1"/>
    <x v="64"/>
    <x v="48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6"/>
  </r>
  <r>
    <x v="30"/>
    <s v="S31_2023_7"/>
    <x v="2"/>
    <s v="Maintenance"/>
    <x v="30"/>
    <s v="Fabiolain"/>
    <x v="1"/>
    <x v="64"/>
    <x v="48"/>
    <d v="2023-07-26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6"/>
  </r>
  <r>
    <x v="52"/>
    <s v="S53_2023_7"/>
    <x v="2"/>
    <s v="Maintenance"/>
    <x v="52"/>
    <s v="Ginot"/>
    <x v="1"/>
    <x v="64"/>
    <x v="48"/>
    <d v="2023-07-26T00:00:00"/>
    <e v="#REF!"/>
    <n v="10320"/>
    <e v="#REF!"/>
    <n v="0"/>
    <n v="0"/>
    <n v="0"/>
    <n v="0"/>
    <e v="#REF!"/>
    <e v="#REF!"/>
    <e v="#REF!"/>
    <n v="0"/>
    <m/>
    <e v="#REF!"/>
    <e v="#REF!"/>
    <x v="24"/>
    <x v="0"/>
    <x v="1"/>
    <x v="16"/>
  </r>
  <r>
    <x v="19"/>
    <s v="S20_2023_7"/>
    <x v="3"/>
    <s v="Maintenance"/>
    <x v="19"/>
    <s v="Manitrasina"/>
    <x v="1"/>
    <x v="64"/>
    <x v="48"/>
    <d v="2023-07-26T00:00:00"/>
    <n v="13830"/>
    <n v="17000"/>
    <n v="17000"/>
    <n v="0"/>
    <n v="0"/>
    <n v="0"/>
    <n v="0"/>
    <n v="170"/>
    <n v="3000"/>
    <n v="16830"/>
    <n v="2000"/>
    <m/>
    <n v="17000"/>
    <n v="2550"/>
    <x v="5"/>
    <x v="0"/>
    <x v="1"/>
    <x v="16"/>
  </r>
  <r>
    <x v="41"/>
    <s v="S42_2023_7"/>
    <x v="3"/>
    <s v="Maintenance"/>
    <x v="41"/>
    <s v="Fifaliana"/>
    <x v="1"/>
    <x v="64"/>
    <x v="48"/>
    <d v="2023-07-26T00:00:00"/>
    <n v="11256"/>
    <n v="14400"/>
    <n v="14400"/>
    <n v="0"/>
    <n v="0"/>
    <n v="0"/>
    <n v="0"/>
    <n v="144"/>
    <n v="3000"/>
    <n v="14256"/>
    <n v="0"/>
    <m/>
    <n v="14400"/>
    <n v="2160"/>
    <x v="19"/>
    <x v="0"/>
    <x v="1"/>
    <x v="16"/>
  </r>
  <r>
    <x v="42"/>
    <s v="S43_2023_7"/>
    <x v="3"/>
    <s v="Maintenance"/>
    <x v="42"/>
    <s v="Hery"/>
    <x v="1"/>
    <x v="64"/>
    <x v="48"/>
    <d v="2023-07-26T00:00:00"/>
    <n v="10860"/>
    <n v="14000"/>
    <n v="14000"/>
    <n v="0"/>
    <n v="0"/>
    <n v="0"/>
    <n v="0"/>
    <n v="140"/>
    <n v="3000"/>
    <n v="13860"/>
    <n v="2000"/>
    <m/>
    <n v="14000"/>
    <n v="2100"/>
    <x v="19"/>
    <x v="0"/>
    <x v="1"/>
    <x v="16"/>
  </r>
  <r>
    <x v="1"/>
    <s v="S02_2023_7"/>
    <x v="0"/>
    <s v="Maintenance"/>
    <x v="1"/>
    <s v="Luo"/>
    <x v="1"/>
    <x v="64"/>
    <x v="48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6"/>
  </r>
  <r>
    <x v="2"/>
    <s v="S03_2023_7"/>
    <x v="0"/>
    <s v="Maintenance"/>
    <x v="2"/>
    <s v="Tsilavina"/>
    <x v="1"/>
    <x v="64"/>
    <x v="48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6"/>
  </r>
  <r>
    <x v="31"/>
    <s v="S32_2023_7"/>
    <x v="0"/>
    <s v="Maintenance"/>
    <x v="31"/>
    <s v="Francot"/>
    <x v="1"/>
    <x v="64"/>
    <x v="48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6"/>
  </r>
  <r>
    <x v="32"/>
    <s v="S33_2023_7"/>
    <x v="0"/>
    <s v="Maintenance"/>
    <x v="32"/>
    <s v="Perolin"/>
    <x v="1"/>
    <x v="64"/>
    <x v="48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6"/>
  </r>
  <r>
    <x v="47"/>
    <s v="S48_2023_7"/>
    <x v="0"/>
    <s v="Maintenance"/>
    <x v="47"/>
    <s v="Seva Christophe"/>
    <x v="1"/>
    <x v="64"/>
    <x v="48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6"/>
  </r>
  <r>
    <x v="27"/>
    <s v="S28_2023_7"/>
    <x v="2"/>
    <s v="Construction"/>
    <x v="27"/>
    <s v="Rodin"/>
    <x v="1"/>
    <x v="64"/>
    <x v="48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6"/>
  </r>
  <r>
    <x v="44"/>
    <s v="S45_2023_7"/>
    <x v="2"/>
    <s v="Construction"/>
    <x v="44"/>
    <s v="Antonio"/>
    <x v="5"/>
    <x v="64"/>
    <x v="48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6"/>
  </r>
  <r>
    <x v="45"/>
    <s v="S46_2023_7"/>
    <x v="2"/>
    <s v="Maintenance"/>
    <x v="45"/>
    <s v="Angeliot"/>
    <x v="1"/>
    <x v="64"/>
    <x v="48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6"/>
  </r>
  <r>
    <x v="15"/>
    <s v="S16_2023_7"/>
    <x v="0"/>
    <s v="Maintenance"/>
    <x v="15"/>
    <s v="Victorien"/>
    <x v="7"/>
    <x v="64"/>
    <x v="48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6"/>
  </r>
  <r>
    <x v="25"/>
    <s v="S26_2023_7"/>
    <x v="0"/>
    <s v="Construction"/>
    <x v="25"/>
    <s v="Anicet"/>
    <x v="5"/>
    <x v="64"/>
    <x v="48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6"/>
  </r>
  <r>
    <x v="39"/>
    <s v="S40_2023_7"/>
    <x v="3"/>
    <s v="Maintenance"/>
    <x v="39"/>
    <s v="Nalaina"/>
    <x v="20"/>
    <x v="64"/>
    <x v="48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6"/>
  </r>
  <r>
    <x v="49"/>
    <s v="S50_2023_7"/>
    <x v="1"/>
    <s v="Transversal"/>
    <x v="49"/>
    <s v="Sandrine"/>
    <x v="22"/>
    <x v="64"/>
    <x v="48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6"/>
  </r>
  <r>
    <x v="38"/>
    <s v="S39_2023_7"/>
    <x v="3"/>
    <s v="Maintenance"/>
    <x v="38"/>
    <s v="Lydie"/>
    <x v="19"/>
    <x v="64"/>
    <x v="48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6"/>
  </r>
  <r>
    <x v="55"/>
    <s v="S56_2023_7"/>
    <x v="2"/>
    <s v="Construction"/>
    <x v="55"/>
    <s v="Irène"/>
    <x v="24"/>
    <x v="64"/>
    <x v="48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6"/>
  </r>
  <r>
    <x v="53"/>
    <s v="S54_2023_7"/>
    <x v="0"/>
    <s v="Construction"/>
    <x v="53"/>
    <s v="Frida"/>
    <x v="24"/>
    <x v="64"/>
    <x v="48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6"/>
  </r>
  <r>
    <x v="37"/>
    <s v="S38_2023_7"/>
    <x v="2"/>
    <s v="Maintenance"/>
    <x v="37"/>
    <s v="Christian"/>
    <x v="7"/>
    <x v="64"/>
    <x v="48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6"/>
  </r>
  <r>
    <x v="18"/>
    <s v="S19_2023_7"/>
    <x v="0"/>
    <s v="Maintenance"/>
    <x v="18"/>
    <s v="Faly"/>
    <x v="7"/>
    <x v="64"/>
    <x v="48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6"/>
  </r>
  <r>
    <x v="7"/>
    <s v="S08_2023_7"/>
    <x v="0"/>
    <s v="Transversal"/>
    <x v="7"/>
    <s v="Onja"/>
    <x v="6"/>
    <x v="64"/>
    <x v="48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6"/>
  </r>
  <r>
    <x v="14"/>
    <s v="S15_2023_7"/>
    <x v="2"/>
    <s v="Transversal"/>
    <x v="14"/>
    <s v="Chrisos"/>
    <x v="11"/>
    <x v="64"/>
    <x v="48"/>
    <d v="2023-03-27T00:00:00"/>
    <n v="1250000"/>
    <n v="1461490"/>
    <n v="1461490"/>
    <n v="0"/>
    <n v="0"/>
    <n v="0"/>
    <n v="0"/>
    <n v="14614.9"/>
    <n v="196875"/>
    <n v="1446875"/>
    <n v="0"/>
    <m/>
    <n v="1461490"/>
    <n v="219224"/>
    <x v="1"/>
    <x v="5"/>
    <x v="0"/>
    <x v="16"/>
  </r>
  <r>
    <x v="0"/>
    <s v="S01_2023_7"/>
    <x v="0"/>
    <s v="Maintenance"/>
    <x v="0"/>
    <s v="Gaetan"/>
    <x v="0"/>
    <x v="64"/>
    <x v="48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6"/>
  </r>
  <r>
    <x v="12"/>
    <s v="S13_2023_7"/>
    <x v="1"/>
    <s v="Transversal"/>
    <x v="12"/>
    <s v="Herizo"/>
    <x v="10"/>
    <x v="64"/>
    <x v="48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6"/>
  </r>
  <r>
    <x v="29"/>
    <s v="S30_2023_7"/>
    <x v="2"/>
    <s v="Transversal"/>
    <x v="29"/>
    <s v="Marie Jeanne"/>
    <x v="9"/>
    <x v="64"/>
    <x v="48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6"/>
  </r>
  <r>
    <x v="11"/>
    <s v="S12_2023_7"/>
    <x v="0"/>
    <s v="Transversal"/>
    <x v="11"/>
    <s v="Benedictine"/>
    <x v="9"/>
    <x v="64"/>
    <x v="48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6"/>
  </r>
  <r>
    <x v="10"/>
    <s v="S11_2023_7"/>
    <x v="0"/>
    <s v="Transversal"/>
    <x v="10"/>
    <s v="Raoul"/>
    <x v="8"/>
    <x v="64"/>
    <x v="48"/>
    <d v="2023-07-26T00:00:00"/>
    <n v="402000"/>
    <n v="361400"/>
    <n v="409091"/>
    <n v="27068"/>
    <n v="20623"/>
    <n v="0"/>
    <n v="0"/>
    <n v="4090.91"/>
    <n v="3000"/>
    <n v="405000"/>
    <n v="6000"/>
    <m/>
    <n v="409091"/>
    <n v="61364"/>
    <x v="1"/>
    <x v="0"/>
    <x v="4"/>
    <x v="16"/>
  </r>
  <r>
    <x v="13"/>
    <s v="S14_2023_7"/>
    <x v="0"/>
    <s v="Transversal"/>
    <x v="13"/>
    <s v="Rene"/>
    <x v="8"/>
    <x v="64"/>
    <x v="48"/>
    <d v="2023-07-26T00:00:00"/>
    <n v="402000"/>
    <n v="361400"/>
    <n v="409091"/>
    <n v="27068"/>
    <n v="20623"/>
    <n v="0"/>
    <n v="0"/>
    <n v="4090.91"/>
    <n v="3000"/>
    <n v="405000"/>
    <n v="8000"/>
    <m/>
    <n v="409091"/>
    <n v="61364"/>
    <x v="1"/>
    <x v="0"/>
    <x v="4"/>
    <x v="16"/>
  </r>
  <r>
    <x v="16"/>
    <s v="S17_2023_7"/>
    <x v="0"/>
    <s v="Transversal"/>
    <x v="16"/>
    <s v="Velonasy"/>
    <x v="8"/>
    <x v="64"/>
    <x v="48"/>
    <d v="2023-07-26T00:00:00"/>
    <n v="559200"/>
    <n v="361400"/>
    <n v="583098"/>
    <n v="27068"/>
    <n v="20623"/>
    <n v="0"/>
    <n v="117"/>
    <n v="5830.98"/>
    <n v="18090"/>
    <n v="577267"/>
    <n v="6000"/>
    <m/>
    <n v="583098"/>
    <n v="87465"/>
    <x v="1"/>
    <x v="0"/>
    <x v="4"/>
    <x v="16"/>
  </r>
  <r>
    <x v="5"/>
    <s v="S06_2023_7"/>
    <x v="1"/>
    <s v="Transversal"/>
    <x v="5"/>
    <s v="Michel"/>
    <x v="4"/>
    <x v="64"/>
    <x v="48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6"/>
  </r>
  <r>
    <x v="33"/>
    <s v="S34_2023_7"/>
    <x v="1"/>
    <s v="Transversal"/>
    <x v="33"/>
    <s v="Valérie"/>
    <x v="16"/>
    <x v="64"/>
    <x v="48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6"/>
  </r>
  <r>
    <x v="23"/>
    <s v="S24_2023_7"/>
    <x v="2"/>
    <s v="Transversal"/>
    <x v="23"/>
    <s v="Christophe"/>
    <x v="14"/>
    <x v="64"/>
    <x v="48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6"/>
  </r>
  <r>
    <x v="35"/>
    <s v="S36_2023_7"/>
    <x v="2"/>
    <s v="Transversal"/>
    <x v="35"/>
    <s v="Judicaël"/>
    <x v="3"/>
    <x v="64"/>
    <x v="48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6"/>
  </r>
  <r>
    <x v="4"/>
    <s v="S05_2023_7"/>
    <x v="0"/>
    <s v="Transversal"/>
    <x v="4"/>
    <s v="Florentin"/>
    <x v="3"/>
    <x v="64"/>
    <x v="48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6"/>
  </r>
  <r>
    <x v="56"/>
    <s v="S59_2023_7"/>
    <x v="2"/>
    <s v="Construction"/>
    <x v="56"/>
    <s v="Niaina"/>
    <x v="25"/>
    <x v="64"/>
    <x v="48"/>
    <d v="2023-07-26T00:00:00"/>
    <n v="1500000"/>
    <n v="1775375"/>
    <n v="1775375"/>
    <n v="0"/>
    <n v="0"/>
    <n v="0"/>
    <n v="0"/>
    <n v="16000"/>
    <n v="259375"/>
    <n v="1759375"/>
    <n v="0"/>
    <m/>
    <n v="1775375"/>
    <n v="240000"/>
    <x v="28"/>
    <x v="0"/>
    <x v="0"/>
    <x v="16"/>
  </r>
  <r>
    <x v="8"/>
    <s v="S09_2023_8"/>
    <x v="2"/>
    <s v="Maintenance"/>
    <x v="8"/>
    <s v="Rinon"/>
    <x v="1"/>
    <x v="65"/>
    <x v="49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6"/>
  </r>
  <r>
    <x v="9"/>
    <s v="S10_2023_8"/>
    <x v="2"/>
    <s v="Maintenance"/>
    <x v="9"/>
    <s v="Alain"/>
    <x v="7"/>
    <x v="65"/>
    <x v="49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6"/>
  </r>
  <r>
    <x v="24"/>
    <s v="S25_2023_8"/>
    <x v="2"/>
    <s v="Maintenance"/>
    <x v="24"/>
    <s v="Doris"/>
    <x v="1"/>
    <x v="65"/>
    <x v="49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6"/>
  </r>
  <r>
    <x v="30"/>
    <s v="S31_2023_8"/>
    <x v="2"/>
    <s v="Maintenance"/>
    <x v="30"/>
    <s v="Fabiolain"/>
    <x v="1"/>
    <x v="65"/>
    <x v="49"/>
    <d v="2023-08-25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6"/>
  </r>
  <r>
    <x v="52"/>
    <s v="S53_2023_8"/>
    <x v="2"/>
    <s v="Maintenance"/>
    <x v="52"/>
    <s v="Ginot"/>
    <x v="1"/>
    <x v="65"/>
    <x v="49"/>
    <d v="2023-08-25T00:00:00"/>
    <e v="#REF!"/>
    <n v="10320"/>
    <e v="#REF!"/>
    <n v="0"/>
    <n v="0"/>
    <n v="0"/>
    <n v="0"/>
    <e v="#REF!"/>
    <e v="#REF!"/>
    <e v="#REF!"/>
    <n v="0"/>
    <m/>
    <e v="#REF!"/>
    <e v="#REF!"/>
    <x v="24"/>
    <x v="0"/>
    <x v="1"/>
    <x v="16"/>
  </r>
  <r>
    <x v="19"/>
    <s v="S20_2023_8"/>
    <x v="3"/>
    <s v="Maintenance"/>
    <x v="19"/>
    <s v="Manitrasina"/>
    <x v="1"/>
    <x v="65"/>
    <x v="49"/>
    <d v="2023-08-25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6"/>
  </r>
  <r>
    <x v="41"/>
    <s v="S42_2023_8"/>
    <x v="3"/>
    <s v="Maintenance"/>
    <x v="41"/>
    <s v="Fifaliana"/>
    <x v="1"/>
    <x v="65"/>
    <x v="49"/>
    <d v="2023-08-25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6"/>
  </r>
  <r>
    <x v="42"/>
    <s v="S43_2023_8"/>
    <x v="3"/>
    <s v="Maintenance"/>
    <x v="42"/>
    <s v="Hery"/>
    <x v="1"/>
    <x v="65"/>
    <x v="49"/>
    <d v="2023-08-25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6"/>
  </r>
  <r>
    <x v="1"/>
    <s v="S02_2023_8"/>
    <x v="0"/>
    <s v="Maintenance"/>
    <x v="1"/>
    <s v="Luo"/>
    <x v="1"/>
    <x v="65"/>
    <x v="49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6"/>
  </r>
  <r>
    <x v="2"/>
    <s v="S03_2023_8"/>
    <x v="0"/>
    <s v="Maintenance"/>
    <x v="2"/>
    <s v="Tsilavina"/>
    <x v="1"/>
    <x v="65"/>
    <x v="49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6"/>
  </r>
  <r>
    <x v="31"/>
    <s v="S32_2023_8"/>
    <x v="0"/>
    <s v="Maintenance"/>
    <x v="31"/>
    <s v="Francot"/>
    <x v="1"/>
    <x v="65"/>
    <x v="49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6"/>
  </r>
  <r>
    <x v="32"/>
    <s v="S33_2023_8"/>
    <x v="0"/>
    <s v="Maintenance"/>
    <x v="32"/>
    <s v="Perolin"/>
    <x v="1"/>
    <x v="65"/>
    <x v="49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6"/>
  </r>
  <r>
    <x v="47"/>
    <s v="S48_2023_8"/>
    <x v="0"/>
    <s v="Maintenance"/>
    <x v="47"/>
    <s v="Seva Christophe"/>
    <x v="1"/>
    <x v="65"/>
    <x v="49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6"/>
  </r>
  <r>
    <x v="27"/>
    <s v="S28_2023_8"/>
    <x v="2"/>
    <s v="Construction"/>
    <x v="27"/>
    <s v="Rodin"/>
    <x v="1"/>
    <x v="65"/>
    <x v="49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6"/>
  </r>
  <r>
    <x v="44"/>
    <s v="S45_2023_8"/>
    <x v="2"/>
    <s v="Construction"/>
    <x v="44"/>
    <s v="Antonio"/>
    <x v="5"/>
    <x v="65"/>
    <x v="49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6"/>
  </r>
  <r>
    <x v="45"/>
    <s v="S46_2023_8"/>
    <x v="2"/>
    <s v="Maintenance"/>
    <x v="45"/>
    <s v="Angeliot"/>
    <x v="1"/>
    <x v="65"/>
    <x v="49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6"/>
  </r>
  <r>
    <x v="15"/>
    <s v="S16_2023_8"/>
    <x v="0"/>
    <s v="Maintenance"/>
    <x v="15"/>
    <s v="Victorien"/>
    <x v="7"/>
    <x v="65"/>
    <x v="49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6"/>
  </r>
  <r>
    <x v="25"/>
    <s v="S26_2023_8"/>
    <x v="0"/>
    <s v="Construction"/>
    <x v="25"/>
    <s v="Anicet"/>
    <x v="5"/>
    <x v="65"/>
    <x v="49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6"/>
  </r>
  <r>
    <x v="39"/>
    <s v="S40_2023_8"/>
    <x v="3"/>
    <s v="Maintenance"/>
    <x v="39"/>
    <s v="Nalaina"/>
    <x v="20"/>
    <x v="65"/>
    <x v="49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6"/>
  </r>
  <r>
    <x v="49"/>
    <s v="S50_2023_8"/>
    <x v="1"/>
    <s v="Transversal"/>
    <x v="49"/>
    <s v="Sandrine"/>
    <x v="22"/>
    <x v="65"/>
    <x v="49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6"/>
  </r>
  <r>
    <x v="38"/>
    <s v="S39_2023_8"/>
    <x v="3"/>
    <s v="Maintenance"/>
    <x v="38"/>
    <s v="Lydie"/>
    <x v="19"/>
    <x v="65"/>
    <x v="49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6"/>
  </r>
  <r>
    <x v="55"/>
    <s v="S56_2023_8"/>
    <x v="2"/>
    <s v="Construction"/>
    <x v="55"/>
    <s v="Irène"/>
    <x v="24"/>
    <x v="65"/>
    <x v="49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6"/>
  </r>
  <r>
    <x v="53"/>
    <s v="S54_2023_8"/>
    <x v="0"/>
    <s v="Construction"/>
    <x v="53"/>
    <s v="Frida"/>
    <x v="24"/>
    <x v="65"/>
    <x v="49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6"/>
  </r>
  <r>
    <x v="37"/>
    <s v="S38_2023_8"/>
    <x v="2"/>
    <s v="Maintenance"/>
    <x v="37"/>
    <s v="Christian"/>
    <x v="7"/>
    <x v="65"/>
    <x v="49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6"/>
  </r>
  <r>
    <x v="18"/>
    <s v="S19_2023_8"/>
    <x v="0"/>
    <s v="Maintenance"/>
    <x v="18"/>
    <s v="Faly"/>
    <x v="7"/>
    <x v="65"/>
    <x v="49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6"/>
  </r>
  <r>
    <x v="7"/>
    <s v="S08_2023_8"/>
    <x v="0"/>
    <s v="Transversal"/>
    <x v="7"/>
    <s v="Onja"/>
    <x v="6"/>
    <x v="65"/>
    <x v="49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6"/>
  </r>
  <r>
    <x v="14"/>
    <s v="S15_2023_8"/>
    <x v="2"/>
    <s v="Transversal"/>
    <x v="14"/>
    <s v="Chrisos"/>
    <x v="11"/>
    <x v="65"/>
    <x v="49"/>
    <d v="2023-03-27T00:00:00"/>
    <n v="1250000"/>
    <n v="1461490"/>
    <n v="1461490"/>
    <n v="0"/>
    <n v="0"/>
    <n v="0"/>
    <n v="0"/>
    <n v="14614.9"/>
    <n v="196875"/>
    <n v="1446875"/>
    <n v="0"/>
    <m/>
    <n v="1461490"/>
    <n v="219224"/>
    <x v="1"/>
    <x v="5"/>
    <x v="0"/>
    <x v="16"/>
  </r>
  <r>
    <x v="0"/>
    <s v="S01_2023_8"/>
    <x v="0"/>
    <s v="Maintenance"/>
    <x v="0"/>
    <s v="Gaetan"/>
    <x v="0"/>
    <x v="65"/>
    <x v="49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6"/>
  </r>
  <r>
    <x v="12"/>
    <s v="S13_2023_8"/>
    <x v="1"/>
    <s v="Transversal"/>
    <x v="12"/>
    <s v="Herizo"/>
    <x v="10"/>
    <x v="65"/>
    <x v="49"/>
    <d v="2022-05-25T00:00:00"/>
    <n v="2500000"/>
    <n v="3020375"/>
    <n v="3020375"/>
    <n v="0"/>
    <n v="0"/>
    <n v="0"/>
    <n v="0"/>
    <n v="16000"/>
    <n v="504375"/>
    <n v="3004375"/>
    <n v="4000"/>
    <m/>
    <n v="1904000"/>
    <n v="240000"/>
    <x v="1"/>
    <x v="0"/>
    <x v="0"/>
    <x v="16"/>
  </r>
  <r>
    <x v="29"/>
    <s v="S30_2023_8"/>
    <x v="2"/>
    <s v="Transversal"/>
    <x v="29"/>
    <s v="Marie Jeanne"/>
    <x v="9"/>
    <x v="65"/>
    <x v="49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6"/>
  </r>
  <r>
    <x v="11"/>
    <s v="S12_2023_8"/>
    <x v="0"/>
    <s v="Transversal"/>
    <x v="11"/>
    <s v="Benedictine"/>
    <x v="9"/>
    <x v="65"/>
    <x v="49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6"/>
  </r>
  <r>
    <x v="10"/>
    <s v="S11_2023_8"/>
    <x v="0"/>
    <s v="Transversal"/>
    <x v="10"/>
    <s v="Raoul"/>
    <x v="8"/>
    <x v="65"/>
    <x v="49"/>
    <d v="2023-08-25T00:00:00"/>
    <n v="412300"/>
    <n v="361400"/>
    <n v="419502"/>
    <n v="27068"/>
    <n v="20623"/>
    <n v="0"/>
    <n v="7"/>
    <n v="4195.0200000000004"/>
    <n v="3000"/>
    <n v="415307"/>
    <n v="6000"/>
    <m/>
    <n v="419502"/>
    <n v="62925"/>
    <x v="1"/>
    <x v="0"/>
    <x v="4"/>
    <x v="16"/>
  </r>
  <r>
    <x v="13"/>
    <s v="S14_2023_8"/>
    <x v="0"/>
    <s v="Transversal"/>
    <x v="13"/>
    <s v="Rene"/>
    <x v="8"/>
    <x v="65"/>
    <x v="49"/>
    <d v="2023-08-25T00:00:00"/>
    <n v="488200"/>
    <n v="361400"/>
    <n v="496838"/>
    <n v="27068"/>
    <n v="20623"/>
    <n v="0"/>
    <n v="59"/>
    <n v="4968.38"/>
    <n v="3687"/>
    <n v="491870"/>
    <n v="8000"/>
    <m/>
    <n v="496838"/>
    <n v="74526"/>
    <x v="1"/>
    <x v="0"/>
    <x v="4"/>
    <x v="16"/>
  </r>
  <r>
    <x v="16"/>
    <s v="S17_2023_8"/>
    <x v="0"/>
    <s v="Transversal"/>
    <x v="16"/>
    <s v="Velonasy"/>
    <x v="8"/>
    <x v="65"/>
    <x v="49"/>
    <d v="2023-08-25T00:00:00"/>
    <n v="409400"/>
    <n v="361400"/>
    <n v="416527"/>
    <n v="27068"/>
    <n v="20623"/>
    <n v="1"/>
    <n v="0"/>
    <n v="4165.2700000000004"/>
    <n v="3000"/>
    <n v="412362"/>
    <n v="6000"/>
    <m/>
    <n v="416527"/>
    <n v="62479"/>
    <x v="1"/>
    <x v="0"/>
    <x v="4"/>
    <x v="16"/>
  </r>
  <r>
    <x v="5"/>
    <s v="S06_2023_8"/>
    <x v="1"/>
    <s v="Transversal"/>
    <x v="5"/>
    <s v="Michel"/>
    <x v="4"/>
    <x v="65"/>
    <x v="49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6"/>
  </r>
  <r>
    <x v="33"/>
    <s v="S34_2023_8"/>
    <x v="1"/>
    <s v="Transversal"/>
    <x v="33"/>
    <s v="Valérie"/>
    <x v="16"/>
    <x v="65"/>
    <x v="49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6"/>
  </r>
  <r>
    <x v="23"/>
    <s v="S24_2023_8"/>
    <x v="2"/>
    <s v="Transversal"/>
    <x v="23"/>
    <s v="Christophe"/>
    <x v="14"/>
    <x v="65"/>
    <x v="49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6"/>
  </r>
  <r>
    <x v="35"/>
    <s v="S36_2023_8"/>
    <x v="2"/>
    <s v="Transversal"/>
    <x v="35"/>
    <s v="Judicaël"/>
    <x v="3"/>
    <x v="65"/>
    <x v="49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6"/>
  </r>
  <r>
    <x v="4"/>
    <s v="S05_2023_8"/>
    <x v="0"/>
    <s v="Transversal"/>
    <x v="4"/>
    <s v="Florentin"/>
    <x v="3"/>
    <x v="65"/>
    <x v="49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6"/>
  </r>
  <r>
    <x v="56"/>
    <s v="S59_2023_8"/>
    <x v="2"/>
    <s v="Construction"/>
    <x v="56"/>
    <s v="Niaina"/>
    <x v="25"/>
    <x v="65"/>
    <x v="49"/>
    <d v="2023-07-26T00:00:00"/>
    <n v="1500000"/>
    <n v="1775375"/>
    <n v="1775375"/>
    <n v="0"/>
    <n v="0"/>
    <n v="0"/>
    <n v="0"/>
    <n v="16000"/>
    <n v="259375"/>
    <n v="1759375"/>
    <n v="0"/>
    <m/>
    <n v="1775375"/>
    <n v="240000"/>
    <x v="28"/>
    <x v="0"/>
    <x v="0"/>
    <x v="16"/>
  </r>
  <r>
    <x v="57"/>
    <s v="S60_2023_8"/>
    <x v="2"/>
    <s v="Construction"/>
    <x v="57"/>
    <s v="Solofo"/>
    <x v="23"/>
    <x v="65"/>
    <x v="49"/>
    <d v="2023-08-25T00:00:00"/>
    <n v="1500000"/>
    <n v="1775375"/>
    <n v="1775375"/>
    <n v="0"/>
    <n v="0"/>
    <n v="0"/>
    <n v="0"/>
    <n v="16000"/>
    <n v="259375"/>
    <n v="1759375"/>
    <n v="0"/>
    <m/>
    <n v="1775375"/>
    <n v="240000"/>
    <x v="29"/>
    <x v="24"/>
    <x v="0"/>
    <x v="16"/>
  </r>
  <r>
    <x v="8"/>
    <s v="S09_2023_9"/>
    <x v="2"/>
    <s v="Maintenance"/>
    <x v="8"/>
    <s v="Rinon"/>
    <x v="1"/>
    <x v="66"/>
    <x v="50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6"/>
  </r>
  <r>
    <x v="9"/>
    <s v="S10_2023_9"/>
    <x v="2"/>
    <s v="Maintenance"/>
    <x v="9"/>
    <s v="Alain"/>
    <x v="7"/>
    <x v="66"/>
    <x v="50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6"/>
  </r>
  <r>
    <x v="24"/>
    <s v="S25_2023_9"/>
    <x v="2"/>
    <s v="Maintenance"/>
    <x v="24"/>
    <s v="Doris"/>
    <x v="1"/>
    <x v="66"/>
    <x v="50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6"/>
  </r>
  <r>
    <x v="30"/>
    <s v="S31_2023_9"/>
    <x v="2"/>
    <s v="Maintenance"/>
    <x v="30"/>
    <s v="Fabiolain"/>
    <x v="1"/>
    <x v="66"/>
    <x v="50"/>
    <d v="2023-09-25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6"/>
  </r>
  <r>
    <x v="52"/>
    <s v="S53_2023_9"/>
    <x v="2"/>
    <s v="Maintenance"/>
    <x v="52"/>
    <s v="Ginot"/>
    <x v="1"/>
    <x v="66"/>
    <x v="50"/>
    <d v="2023-09-25T00:00:00"/>
    <e v="#REF!"/>
    <n v="10320"/>
    <e v="#REF!"/>
    <n v="0"/>
    <n v="0"/>
    <n v="0"/>
    <n v="0"/>
    <e v="#REF!"/>
    <e v="#REF!"/>
    <e v="#REF!"/>
    <n v="0"/>
    <m/>
    <e v="#REF!"/>
    <e v="#REF!"/>
    <x v="24"/>
    <x v="0"/>
    <x v="1"/>
    <x v="16"/>
  </r>
  <r>
    <x v="19"/>
    <s v="S20_2023_9"/>
    <x v="3"/>
    <s v="Maintenance"/>
    <x v="19"/>
    <s v="Manitrasina"/>
    <x v="1"/>
    <x v="66"/>
    <x v="50"/>
    <d v="2023-09-25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6"/>
  </r>
  <r>
    <x v="41"/>
    <s v="S42_2023_9"/>
    <x v="3"/>
    <s v="Maintenance"/>
    <x v="41"/>
    <s v="Fifaliana"/>
    <x v="1"/>
    <x v="66"/>
    <x v="50"/>
    <d v="2023-09-25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6"/>
  </r>
  <r>
    <x v="42"/>
    <s v="S43_2023_9"/>
    <x v="3"/>
    <s v="Maintenance"/>
    <x v="42"/>
    <s v="Hery"/>
    <x v="1"/>
    <x v="66"/>
    <x v="50"/>
    <d v="2023-09-25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6"/>
  </r>
  <r>
    <x v="1"/>
    <s v="S02_2023_9"/>
    <x v="0"/>
    <s v="Maintenance"/>
    <x v="1"/>
    <s v="Luo"/>
    <x v="1"/>
    <x v="66"/>
    <x v="50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6"/>
  </r>
  <r>
    <x v="2"/>
    <s v="S03_2023_9"/>
    <x v="0"/>
    <s v="Maintenance"/>
    <x v="2"/>
    <s v="Tsilavina"/>
    <x v="1"/>
    <x v="66"/>
    <x v="50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6"/>
  </r>
  <r>
    <x v="31"/>
    <s v="S32_2023_9"/>
    <x v="0"/>
    <s v="Maintenance"/>
    <x v="31"/>
    <s v="Francot"/>
    <x v="1"/>
    <x v="66"/>
    <x v="50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6"/>
  </r>
  <r>
    <x v="32"/>
    <s v="S33_2023_9"/>
    <x v="0"/>
    <s v="Maintenance"/>
    <x v="32"/>
    <s v="Perolin"/>
    <x v="1"/>
    <x v="66"/>
    <x v="50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6"/>
  </r>
  <r>
    <x v="47"/>
    <s v="S48_2023_9"/>
    <x v="0"/>
    <s v="Maintenance"/>
    <x v="47"/>
    <s v="Seva Christophe"/>
    <x v="1"/>
    <x v="66"/>
    <x v="50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6"/>
  </r>
  <r>
    <x v="27"/>
    <s v="S28_2023_9"/>
    <x v="2"/>
    <s v="Construction"/>
    <x v="27"/>
    <s v="Rodin"/>
    <x v="1"/>
    <x v="66"/>
    <x v="50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6"/>
  </r>
  <r>
    <x v="44"/>
    <s v="S45_2023_9"/>
    <x v="2"/>
    <s v="Construction"/>
    <x v="44"/>
    <s v="Antonio"/>
    <x v="5"/>
    <x v="66"/>
    <x v="50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6"/>
  </r>
  <r>
    <x v="45"/>
    <s v="S46_2023_9"/>
    <x v="2"/>
    <s v="Maintenance"/>
    <x v="45"/>
    <s v="Angeliot"/>
    <x v="1"/>
    <x v="66"/>
    <x v="50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6"/>
  </r>
  <r>
    <x v="15"/>
    <s v="S16_2023_9"/>
    <x v="0"/>
    <s v="Maintenance"/>
    <x v="15"/>
    <s v="Victorien"/>
    <x v="7"/>
    <x v="66"/>
    <x v="50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6"/>
  </r>
  <r>
    <x v="25"/>
    <s v="S26_2023_9"/>
    <x v="0"/>
    <s v="Construction"/>
    <x v="25"/>
    <s v="Anicet"/>
    <x v="5"/>
    <x v="66"/>
    <x v="50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6"/>
  </r>
  <r>
    <x v="39"/>
    <s v="S40_2023_9"/>
    <x v="3"/>
    <s v="Maintenance"/>
    <x v="39"/>
    <s v="Nalaina"/>
    <x v="20"/>
    <x v="66"/>
    <x v="50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6"/>
  </r>
  <r>
    <x v="49"/>
    <s v="S50_2023_9"/>
    <x v="1"/>
    <s v="Transversal"/>
    <x v="49"/>
    <s v="Sandrine"/>
    <x v="22"/>
    <x v="66"/>
    <x v="50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6"/>
  </r>
  <r>
    <x v="38"/>
    <s v="S39_2023_9"/>
    <x v="3"/>
    <s v="Maintenance"/>
    <x v="38"/>
    <s v="Lydie"/>
    <x v="19"/>
    <x v="66"/>
    <x v="50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6"/>
  </r>
  <r>
    <x v="55"/>
    <s v="S56_2023_9"/>
    <x v="2"/>
    <s v="Construction"/>
    <x v="55"/>
    <s v="Irène"/>
    <x v="24"/>
    <x v="66"/>
    <x v="50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6"/>
  </r>
  <r>
    <x v="53"/>
    <s v="S54_2023_9"/>
    <x v="0"/>
    <s v="Construction"/>
    <x v="53"/>
    <s v="Frida"/>
    <x v="24"/>
    <x v="66"/>
    <x v="50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6"/>
  </r>
  <r>
    <x v="37"/>
    <s v="S38_2023_9"/>
    <x v="2"/>
    <s v="Maintenance"/>
    <x v="37"/>
    <s v="Christian"/>
    <x v="7"/>
    <x v="66"/>
    <x v="50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6"/>
  </r>
  <r>
    <x v="18"/>
    <s v="S19_2023_9"/>
    <x v="0"/>
    <s v="Maintenance"/>
    <x v="18"/>
    <s v="Faly"/>
    <x v="7"/>
    <x v="66"/>
    <x v="50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6"/>
  </r>
  <r>
    <x v="7"/>
    <s v="S08_2023_9"/>
    <x v="0"/>
    <s v="Transversal"/>
    <x v="7"/>
    <s v="Onja"/>
    <x v="6"/>
    <x v="66"/>
    <x v="50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6"/>
  </r>
  <r>
    <x v="14"/>
    <s v="S15_2023_9"/>
    <x v="2"/>
    <s v="Transversal"/>
    <x v="14"/>
    <s v="Chrisos"/>
    <x v="11"/>
    <x v="66"/>
    <x v="50"/>
    <d v="2023-03-27T00:00:00"/>
    <n v="1250000"/>
    <n v="1461490"/>
    <n v="1461490"/>
    <n v="0"/>
    <n v="0"/>
    <n v="0"/>
    <n v="0"/>
    <n v="14614.9"/>
    <n v="196875"/>
    <n v="1446875"/>
    <n v="0"/>
    <m/>
    <n v="1461490"/>
    <n v="219224"/>
    <x v="1"/>
    <x v="5"/>
    <x v="0"/>
    <x v="16"/>
  </r>
  <r>
    <x v="0"/>
    <s v="S01_2023_9"/>
    <x v="0"/>
    <s v="Maintenance"/>
    <x v="0"/>
    <s v="Gaetan"/>
    <x v="0"/>
    <x v="66"/>
    <x v="50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6"/>
  </r>
  <r>
    <x v="12"/>
    <s v="S13_2023_9"/>
    <x v="1"/>
    <s v="Transversal"/>
    <x v="12"/>
    <s v="Herizo"/>
    <x v="10"/>
    <x v="66"/>
    <x v="50"/>
    <d v="2023-09-25T00:00:00"/>
    <n v="2500000"/>
    <n v="3023415"/>
    <n v="3023415"/>
    <n v="0"/>
    <n v="0"/>
    <n v="0"/>
    <n v="0"/>
    <n v="19040"/>
    <n v="504375"/>
    <n v="3004375"/>
    <n v="4000"/>
    <m/>
    <n v="1904000"/>
    <n v="285600"/>
    <x v="1"/>
    <x v="0"/>
    <x v="0"/>
    <x v="16"/>
  </r>
  <r>
    <x v="29"/>
    <s v="S30_2023_9"/>
    <x v="2"/>
    <s v="Transversal"/>
    <x v="29"/>
    <s v="Marie Jeanne"/>
    <x v="9"/>
    <x v="66"/>
    <x v="50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6"/>
  </r>
  <r>
    <x v="11"/>
    <s v="S12_2023_9"/>
    <x v="0"/>
    <s v="Transversal"/>
    <x v="11"/>
    <s v="Benedictine"/>
    <x v="9"/>
    <x v="66"/>
    <x v="50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6"/>
  </r>
  <r>
    <x v="10"/>
    <s v="S11_2023_9"/>
    <x v="0"/>
    <s v="Transversal"/>
    <x v="10"/>
    <s v="Raoul"/>
    <x v="8"/>
    <x v="66"/>
    <x v="50"/>
    <d v="2023-09-25T00:00:00"/>
    <n v="447600"/>
    <n v="361400"/>
    <n v="455196"/>
    <n v="27068"/>
    <n v="20623"/>
    <n v="0"/>
    <n v="31"/>
    <n v="4551.96"/>
    <n v="3000"/>
    <n v="450644"/>
    <n v="6000"/>
    <m/>
    <n v="455196"/>
    <n v="68279"/>
    <x v="1"/>
    <x v="0"/>
    <x v="4"/>
    <x v="16"/>
  </r>
  <r>
    <x v="13"/>
    <s v="S14_2023_9"/>
    <x v="0"/>
    <s v="Transversal"/>
    <x v="13"/>
    <s v="Rene"/>
    <x v="8"/>
    <x v="66"/>
    <x v="50"/>
    <d v="2023-09-25T00:00:00"/>
    <n v="402000"/>
    <n v="361400"/>
    <n v="409091"/>
    <n v="27068"/>
    <n v="20623"/>
    <n v="0"/>
    <n v="0"/>
    <n v="4090.91"/>
    <n v="3000"/>
    <n v="405000"/>
    <n v="8000"/>
    <m/>
    <n v="409091"/>
    <n v="61364"/>
    <x v="1"/>
    <x v="0"/>
    <x v="4"/>
    <x v="16"/>
  </r>
  <r>
    <x v="16"/>
    <s v="S17_2023_9"/>
    <x v="0"/>
    <s v="Transversal"/>
    <x v="16"/>
    <s v="Velonasy"/>
    <x v="8"/>
    <x v="66"/>
    <x v="50"/>
    <d v="2023-09-25T00:00:00"/>
    <n v="432900"/>
    <n v="361400"/>
    <n v="440323"/>
    <n v="27068"/>
    <n v="20623"/>
    <n v="0"/>
    <n v="21"/>
    <n v="4403.2299999999996"/>
    <n v="3000"/>
    <n v="435920"/>
    <n v="6000"/>
    <m/>
    <n v="440323"/>
    <n v="66048"/>
    <x v="1"/>
    <x v="0"/>
    <x v="4"/>
    <x v="16"/>
  </r>
  <r>
    <x v="5"/>
    <s v="S06_2023_9"/>
    <x v="1"/>
    <s v="Transversal"/>
    <x v="5"/>
    <s v="Michel"/>
    <x v="4"/>
    <x v="66"/>
    <x v="50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6"/>
  </r>
  <r>
    <x v="33"/>
    <s v="S34_2023_9"/>
    <x v="1"/>
    <s v="Transversal"/>
    <x v="33"/>
    <s v="Valérie"/>
    <x v="16"/>
    <x v="66"/>
    <x v="50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6"/>
  </r>
  <r>
    <x v="23"/>
    <s v="S24_2023_9"/>
    <x v="2"/>
    <s v="Transversal"/>
    <x v="23"/>
    <s v="Christophe"/>
    <x v="14"/>
    <x v="66"/>
    <x v="50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6"/>
  </r>
  <r>
    <x v="35"/>
    <s v="S36_2023_9"/>
    <x v="2"/>
    <s v="Transversal"/>
    <x v="35"/>
    <s v="Judicaël"/>
    <x v="3"/>
    <x v="66"/>
    <x v="50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6"/>
  </r>
  <r>
    <x v="4"/>
    <s v="S05_2023_9"/>
    <x v="0"/>
    <s v="Transversal"/>
    <x v="4"/>
    <s v="Florentin"/>
    <x v="3"/>
    <x v="66"/>
    <x v="50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6"/>
  </r>
  <r>
    <x v="56"/>
    <s v="S59_2023_9"/>
    <x v="2"/>
    <s v="Construction"/>
    <x v="56"/>
    <s v="Niaina"/>
    <x v="25"/>
    <x v="66"/>
    <x v="50"/>
    <d v="2023-07-26T00:00:00"/>
    <n v="1500000"/>
    <n v="1775375"/>
    <n v="1775375"/>
    <n v="0"/>
    <n v="0"/>
    <n v="0"/>
    <n v="0"/>
    <n v="16000"/>
    <n v="259375"/>
    <n v="1759375"/>
    <n v="0"/>
    <m/>
    <n v="1775375"/>
    <n v="240000"/>
    <x v="28"/>
    <x v="0"/>
    <x v="0"/>
    <x v="16"/>
  </r>
  <r>
    <x v="9"/>
    <s v="S10_2023_10"/>
    <x v="2"/>
    <s v="Maintenance"/>
    <x v="9"/>
    <s v="Alain"/>
    <x v="7"/>
    <x v="67"/>
    <x v="51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7"/>
  </r>
  <r>
    <x v="30"/>
    <s v="S31_2023_10"/>
    <x v="2"/>
    <s v="Maintenance"/>
    <x v="30"/>
    <s v="Fabiolain"/>
    <x v="1"/>
    <x v="67"/>
    <x v="51"/>
    <d v="2023-10-25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7"/>
  </r>
  <r>
    <x v="52"/>
    <s v="S53_2023_10"/>
    <x v="2"/>
    <s v="Maintenance"/>
    <x v="52"/>
    <s v="Ginot"/>
    <x v="1"/>
    <x v="67"/>
    <x v="51"/>
    <d v="2023-10-25T00:00:00"/>
    <e v="#REF!"/>
    <n v="10320"/>
    <e v="#REF!"/>
    <n v="0"/>
    <n v="0"/>
    <n v="0"/>
    <n v="0"/>
    <e v="#REF!"/>
    <e v="#REF!"/>
    <e v="#REF!"/>
    <n v="0"/>
    <m/>
    <e v="#REF!"/>
    <e v="#REF!"/>
    <x v="24"/>
    <x v="0"/>
    <x v="1"/>
    <x v="17"/>
  </r>
  <r>
    <x v="19"/>
    <s v="S20_2023_10"/>
    <x v="3"/>
    <s v="Maintenance"/>
    <x v="19"/>
    <s v="Manitrasina"/>
    <x v="1"/>
    <x v="67"/>
    <x v="51"/>
    <d v="2023-10-25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7"/>
  </r>
  <r>
    <x v="41"/>
    <s v="S42_2023_10"/>
    <x v="3"/>
    <s v="Maintenance"/>
    <x v="41"/>
    <s v="Fifaliana"/>
    <x v="1"/>
    <x v="67"/>
    <x v="51"/>
    <d v="2023-10-25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7"/>
  </r>
  <r>
    <x v="42"/>
    <s v="S43_2023_10"/>
    <x v="3"/>
    <s v="Maintenance"/>
    <x v="42"/>
    <s v="Hery"/>
    <x v="1"/>
    <x v="67"/>
    <x v="51"/>
    <d v="2023-10-25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7"/>
  </r>
  <r>
    <x v="1"/>
    <s v="S02_2023_10"/>
    <x v="0"/>
    <s v="Maintenance"/>
    <x v="1"/>
    <s v="Luo"/>
    <x v="1"/>
    <x v="67"/>
    <x v="51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7"/>
  </r>
  <r>
    <x v="2"/>
    <s v="S03_2023_10"/>
    <x v="0"/>
    <s v="Maintenance"/>
    <x v="2"/>
    <s v="Tsilavina"/>
    <x v="1"/>
    <x v="67"/>
    <x v="51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7"/>
  </r>
  <r>
    <x v="31"/>
    <s v="S32_2023_10"/>
    <x v="0"/>
    <s v="Maintenance"/>
    <x v="31"/>
    <s v="Francot"/>
    <x v="1"/>
    <x v="67"/>
    <x v="51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7"/>
  </r>
  <r>
    <x v="32"/>
    <s v="S33_2023_10"/>
    <x v="0"/>
    <s v="Maintenance"/>
    <x v="32"/>
    <s v="Perolin"/>
    <x v="1"/>
    <x v="67"/>
    <x v="51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7"/>
  </r>
  <r>
    <x v="47"/>
    <s v="S48_2023_10"/>
    <x v="0"/>
    <s v="Maintenance"/>
    <x v="47"/>
    <s v="Seva Christophe"/>
    <x v="1"/>
    <x v="67"/>
    <x v="51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7"/>
  </r>
  <r>
    <x v="27"/>
    <s v="S28_2023_10"/>
    <x v="2"/>
    <s v="Construction"/>
    <x v="27"/>
    <s v="Rodin"/>
    <x v="1"/>
    <x v="67"/>
    <x v="51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7"/>
  </r>
  <r>
    <x v="44"/>
    <s v="S45_2023_10"/>
    <x v="2"/>
    <s v="Construction"/>
    <x v="44"/>
    <s v="Antonio"/>
    <x v="5"/>
    <x v="67"/>
    <x v="51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7"/>
  </r>
  <r>
    <x v="45"/>
    <s v="S46_2023_10"/>
    <x v="2"/>
    <s v="Maintenance"/>
    <x v="45"/>
    <s v="Angeliot"/>
    <x v="1"/>
    <x v="67"/>
    <x v="51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7"/>
  </r>
  <r>
    <x v="15"/>
    <s v="S16_2023_10"/>
    <x v="0"/>
    <s v="Maintenance"/>
    <x v="15"/>
    <s v="Victorien"/>
    <x v="7"/>
    <x v="67"/>
    <x v="51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7"/>
  </r>
  <r>
    <x v="25"/>
    <s v="S26_2023_10"/>
    <x v="0"/>
    <s v="Construction"/>
    <x v="25"/>
    <s v="Anicet"/>
    <x v="5"/>
    <x v="67"/>
    <x v="51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7"/>
  </r>
  <r>
    <x v="39"/>
    <s v="S40_2023_10"/>
    <x v="3"/>
    <s v="Maintenance"/>
    <x v="39"/>
    <s v="Nalaina"/>
    <x v="20"/>
    <x v="67"/>
    <x v="51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7"/>
  </r>
  <r>
    <x v="49"/>
    <s v="S50_2023_10"/>
    <x v="1"/>
    <s v="Transversal"/>
    <x v="49"/>
    <s v="Sandrine"/>
    <x v="22"/>
    <x v="67"/>
    <x v="51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7"/>
  </r>
  <r>
    <x v="38"/>
    <s v="S39_2023_10"/>
    <x v="3"/>
    <s v="Maintenance"/>
    <x v="38"/>
    <s v="Lydie"/>
    <x v="19"/>
    <x v="67"/>
    <x v="51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7"/>
  </r>
  <r>
    <x v="55"/>
    <s v="S56_2023_10"/>
    <x v="2"/>
    <s v="Construction"/>
    <x v="55"/>
    <s v="Irène"/>
    <x v="24"/>
    <x v="67"/>
    <x v="51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7"/>
  </r>
  <r>
    <x v="53"/>
    <s v="S54_2023_10"/>
    <x v="0"/>
    <s v="Construction"/>
    <x v="53"/>
    <s v="Frida"/>
    <x v="24"/>
    <x v="67"/>
    <x v="51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7"/>
  </r>
  <r>
    <x v="37"/>
    <s v="S38_2023_10"/>
    <x v="2"/>
    <s v="Maintenance"/>
    <x v="37"/>
    <s v="Christian"/>
    <x v="7"/>
    <x v="67"/>
    <x v="51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7"/>
  </r>
  <r>
    <x v="18"/>
    <s v="S19_2023_10"/>
    <x v="0"/>
    <s v="Maintenance"/>
    <x v="18"/>
    <s v="Faly"/>
    <x v="7"/>
    <x v="67"/>
    <x v="51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7"/>
  </r>
  <r>
    <x v="7"/>
    <s v="S08_2023_10"/>
    <x v="0"/>
    <s v="Transversal"/>
    <x v="7"/>
    <s v="Onja"/>
    <x v="6"/>
    <x v="67"/>
    <x v="51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7"/>
  </r>
  <r>
    <x v="0"/>
    <s v="S01_2023_10"/>
    <x v="0"/>
    <s v="Maintenance"/>
    <x v="0"/>
    <s v="Gaetan"/>
    <x v="0"/>
    <x v="67"/>
    <x v="51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7"/>
  </r>
  <r>
    <x v="12"/>
    <s v="S13_2023_10"/>
    <x v="1"/>
    <s v="Transversal"/>
    <x v="12"/>
    <s v="Herizo"/>
    <x v="10"/>
    <x v="67"/>
    <x v="51"/>
    <d v="2023-09-25T00:00:00"/>
    <n v="2500000"/>
    <n v="3023415"/>
    <n v="3023415"/>
    <n v="0"/>
    <n v="0"/>
    <n v="0"/>
    <n v="0"/>
    <n v="19040"/>
    <n v="504375"/>
    <n v="3004375"/>
    <n v="4000"/>
    <m/>
    <n v="1904000"/>
    <n v="285600"/>
    <x v="1"/>
    <x v="0"/>
    <x v="0"/>
    <x v="17"/>
  </r>
  <r>
    <x v="29"/>
    <s v="S30_2023_10"/>
    <x v="2"/>
    <s v="Transversal"/>
    <x v="29"/>
    <s v="Marie Jeanne"/>
    <x v="9"/>
    <x v="67"/>
    <x v="51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7"/>
  </r>
  <r>
    <x v="11"/>
    <s v="S12_2023_10"/>
    <x v="0"/>
    <s v="Transversal"/>
    <x v="11"/>
    <s v="Benedictine"/>
    <x v="9"/>
    <x v="67"/>
    <x v="51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7"/>
  </r>
  <r>
    <x v="10"/>
    <s v="S11_2023_10"/>
    <x v="0"/>
    <s v="Transversal"/>
    <x v="10"/>
    <s v="Raoul"/>
    <x v="8"/>
    <x v="67"/>
    <x v="51"/>
    <d v="2023-10-25T00:00:00"/>
    <n v="402000"/>
    <n v="361400"/>
    <n v="409091"/>
    <n v="27068"/>
    <n v="20623"/>
    <n v="0"/>
    <n v="0"/>
    <n v="4090.91"/>
    <n v="3000"/>
    <n v="405000"/>
    <n v="6000"/>
    <m/>
    <n v="409091"/>
    <n v="61364"/>
    <x v="1"/>
    <x v="0"/>
    <x v="4"/>
    <x v="17"/>
  </r>
  <r>
    <x v="13"/>
    <s v="S14_2023_10"/>
    <x v="0"/>
    <s v="Transversal"/>
    <x v="13"/>
    <s v="Rene"/>
    <x v="8"/>
    <x v="67"/>
    <x v="51"/>
    <d v="2023-10-25T00:00:00"/>
    <n v="482900"/>
    <n v="361400"/>
    <n v="490889"/>
    <n v="27068"/>
    <n v="20623"/>
    <n v="0"/>
    <n v="55"/>
    <n v="4908.8900000000003"/>
    <n v="3098"/>
    <n v="485980"/>
    <n v="8000"/>
    <m/>
    <n v="490889"/>
    <n v="73633"/>
    <x v="1"/>
    <x v="0"/>
    <x v="4"/>
    <x v="17"/>
  </r>
  <r>
    <x v="16"/>
    <s v="S17_2023_10"/>
    <x v="0"/>
    <s v="Transversal"/>
    <x v="16"/>
    <s v="Velonasy"/>
    <x v="8"/>
    <x v="67"/>
    <x v="51"/>
    <d v="2023-10-25T00:00:00"/>
    <n v="472900"/>
    <n v="361400"/>
    <n v="481966"/>
    <n v="27068"/>
    <n v="20623"/>
    <n v="0"/>
    <n v="49"/>
    <n v="4819.66"/>
    <n v="4215"/>
    <n v="477146"/>
    <n v="6000"/>
    <m/>
    <n v="481966"/>
    <n v="72295"/>
    <x v="1"/>
    <x v="0"/>
    <x v="4"/>
    <x v="17"/>
  </r>
  <r>
    <x v="5"/>
    <s v="S06_2023_10"/>
    <x v="1"/>
    <s v="Transversal"/>
    <x v="5"/>
    <s v="Michel"/>
    <x v="4"/>
    <x v="67"/>
    <x v="51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7"/>
  </r>
  <r>
    <x v="33"/>
    <s v="S34_2023_10"/>
    <x v="1"/>
    <s v="Transversal"/>
    <x v="33"/>
    <s v="Valérie"/>
    <x v="16"/>
    <x v="67"/>
    <x v="51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7"/>
  </r>
  <r>
    <x v="23"/>
    <s v="S24_2023_10"/>
    <x v="2"/>
    <s v="Transversal"/>
    <x v="23"/>
    <s v="Christophe"/>
    <x v="14"/>
    <x v="67"/>
    <x v="51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7"/>
  </r>
  <r>
    <x v="35"/>
    <s v="S36_2023_10"/>
    <x v="2"/>
    <s v="Transversal"/>
    <x v="35"/>
    <s v="Judicaël"/>
    <x v="3"/>
    <x v="67"/>
    <x v="51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7"/>
  </r>
  <r>
    <x v="4"/>
    <s v="S05_2023_10"/>
    <x v="0"/>
    <s v="Transversal"/>
    <x v="4"/>
    <s v="Florentin"/>
    <x v="3"/>
    <x v="67"/>
    <x v="51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7"/>
  </r>
  <r>
    <x v="56"/>
    <s v="S59_2023_10"/>
    <x v="2"/>
    <s v="Construction"/>
    <x v="56"/>
    <s v="Niaina"/>
    <x v="25"/>
    <x v="67"/>
    <x v="51"/>
    <d v="2023-10-25T00:00:00"/>
    <n v="1500000"/>
    <n v="1777146"/>
    <n v="1777146"/>
    <n v="0"/>
    <n v="0"/>
    <n v="0"/>
    <n v="0"/>
    <n v="17771.46"/>
    <n v="259375"/>
    <n v="1759375"/>
    <n v="0"/>
    <m/>
    <n v="1777146"/>
    <n v="266572"/>
    <x v="28"/>
    <x v="0"/>
    <x v="0"/>
    <x v="17"/>
  </r>
  <r>
    <x v="8"/>
    <s v="S09_2023_10"/>
    <x v="2"/>
    <s v="Maintenance"/>
    <x v="8"/>
    <s v="Rinon"/>
    <x v="1"/>
    <x v="67"/>
    <x v="51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7"/>
  </r>
  <r>
    <x v="24"/>
    <s v="S25_2023_10"/>
    <x v="2"/>
    <s v="Maintenance"/>
    <x v="24"/>
    <s v="Doris"/>
    <x v="1"/>
    <x v="67"/>
    <x v="51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7"/>
  </r>
  <r>
    <x v="9"/>
    <s v="S10_2023_11"/>
    <x v="2"/>
    <s v="Maintenance"/>
    <x v="9"/>
    <s v="Alain"/>
    <x v="7"/>
    <x v="68"/>
    <x v="52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7"/>
  </r>
  <r>
    <x v="30"/>
    <s v="S31_2023_11"/>
    <x v="2"/>
    <s v="Maintenance"/>
    <x v="30"/>
    <s v="Fabiolain"/>
    <x v="1"/>
    <x v="68"/>
    <x v="52"/>
    <d v="2023-11-27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7"/>
  </r>
  <r>
    <x v="52"/>
    <s v="S53_2023_11"/>
    <x v="2"/>
    <s v="Maintenance"/>
    <x v="52"/>
    <s v="Ginot"/>
    <x v="1"/>
    <x v="68"/>
    <x v="52"/>
    <d v="2023-11-27T00:00:00"/>
    <e v="#REF!"/>
    <n v="15250"/>
    <e v="#REF!"/>
    <n v="0"/>
    <n v="0"/>
    <n v="0"/>
    <n v="0"/>
    <e v="#REF!"/>
    <e v="#REF!"/>
    <e v="#REF!"/>
    <n v="0"/>
    <m/>
    <e v="#REF!"/>
    <e v="#REF!"/>
    <x v="24"/>
    <x v="0"/>
    <x v="1"/>
    <x v="17"/>
  </r>
  <r>
    <x v="19"/>
    <s v="S20_2023_11"/>
    <x v="3"/>
    <s v="Maintenance"/>
    <x v="19"/>
    <s v="Manitrasina"/>
    <x v="1"/>
    <x v="68"/>
    <x v="52"/>
    <d v="2023-11-27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7"/>
  </r>
  <r>
    <x v="41"/>
    <s v="S42_2023_11"/>
    <x v="3"/>
    <s v="Maintenance"/>
    <x v="41"/>
    <s v="Fifaliana"/>
    <x v="1"/>
    <x v="68"/>
    <x v="52"/>
    <d v="2023-11-27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7"/>
  </r>
  <r>
    <x v="42"/>
    <s v="S43_2023_11"/>
    <x v="3"/>
    <s v="Maintenance"/>
    <x v="42"/>
    <s v="Hery"/>
    <x v="1"/>
    <x v="68"/>
    <x v="52"/>
    <d v="2023-11-27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7"/>
  </r>
  <r>
    <x v="1"/>
    <s v="S02_2023_11"/>
    <x v="0"/>
    <s v="Maintenance"/>
    <x v="1"/>
    <s v="Luo"/>
    <x v="1"/>
    <x v="68"/>
    <x v="52"/>
    <d v="2023-03-27T00:00:00"/>
    <n v="500000"/>
    <n v="519905"/>
    <n v="519905"/>
    <n v="0"/>
    <n v="0"/>
    <n v="0"/>
    <n v="0"/>
    <n v="5199.05"/>
    <n v="14706"/>
    <n v="514706"/>
    <n v="0"/>
    <m/>
    <n v="519905"/>
    <n v="77986"/>
    <x v="0"/>
    <x v="1"/>
    <x v="1"/>
    <x v="17"/>
  </r>
  <r>
    <x v="2"/>
    <s v="S03_2023_11"/>
    <x v="0"/>
    <s v="Maintenance"/>
    <x v="2"/>
    <s v="Tsilavina"/>
    <x v="1"/>
    <x v="68"/>
    <x v="52"/>
    <d v="2023-03-27T00:00:00"/>
    <n v="470000"/>
    <n v="483165"/>
    <n v="483165"/>
    <n v="0"/>
    <n v="0"/>
    <n v="0"/>
    <n v="0"/>
    <n v="4831.6499999999996"/>
    <n v="8333"/>
    <n v="478333"/>
    <n v="2000"/>
    <m/>
    <n v="483165"/>
    <n v="72475"/>
    <x v="0"/>
    <x v="2"/>
    <x v="1"/>
    <x v="17"/>
  </r>
  <r>
    <x v="31"/>
    <s v="S32_2023_11"/>
    <x v="0"/>
    <s v="Maintenance"/>
    <x v="31"/>
    <s v="Francot"/>
    <x v="1"/>
    <x v="68"/>
    <x v="52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7"/>
  </r>
  <r>
    <x v="32"/>
    <s v="S33_2023_11"/>
    <x v="0"/>
    <s v="Maintenance"/>
    <x v="32"/>
    <s v="Perolin"/>
    <x v="1"/>
    <x v="68"/>
    <x v="52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7"/>
  </r>
  <r>
    <x v="47"/>
    <s v="S48_2023_11"/>
    <x v="0"/>
    <s v="Maintenance"/>
    <x v="47"/>
    <s v="Seva Christophe"/>
    <x v="1"/>
    <x v="68"/>
    <x v="52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7"/>
  </r>
  <r>
    <x v="27"/>
    <s v="S28_2023_11"/>
    <x v="2"/>
    <s v="Construction"/>
    <x v="27"/>
    <s v="Rodin"/>
    <x v="1"/>
    <x v="68"/>
    <x v="52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7"/>
  </r>
  <r>
    <x v="44"/>
    <s v="S45_2023_11"/>
    <x v="2"/>
    <s v="Construction"/>
    <x v="44"/>
    <s v="Antonio"/>
    <x v="5"/>
    <x v="68"/>
    <x v="52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7"/>
  </r>
  <r>
    <x v="45"/>
    <s v="S46_2023_11"/>
    <x v="2"/>
    <s v="Maintenance"/>
    <x v="45"/>
    <s v="Angeliot"/>
    <x v="1"/>
    <x v="68"/>
    <x v="52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7"/>
  </r>
  <r>
    <x v="15"/>
    <s v="S16_2023_11"/>
    <x v="0"/>
    <s v="Maintenance"/>
    <x v="15"/>
    <s v="Victorien"/>
    <x v="7"/>
    <x v="68"/>
    <x v="52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7"/>
  </r>
  <r>
    <x v="25"/>
    <s v="S26_2023_11"/>
    <x v="0"/>
    <s v="Construction"/>
    <x v="25"/>
    <s v="Anicet"/>
    <x v="5"/>
    <x v="68"/>
    <x v="52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7"/>
  </r>
  <r>
    <x v="39"/>
    <s v="S40_2023_11"/>
    <x v="3"/>
    <s v="Maintenance"/>
    <x v="39"/>
    <s v="Nalaina"/>
    <x v="20"/>
    <x v="68"/>
    <x v="52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7"/>
  </r>
  <r>
    <x v="49"/>
    <s v="S50_2023_11"/>
    <x v="1"/>
    <s v="Transversal"/>
    <x v="49"/>
    <s v="Sandrine"/>
    <x v="22"/>
    <x v="68"/>
    <x v="52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7"/>
  </r>
  <r>
    <x v="38"/>
    <s v="S39_2023_11"/>
    <x v="3"/>
    <s v="Maintenance"/>
    <x v="38"/>
    <s v="Lydie"/>
    <x v="19"/>
    <x v="68"/>
    <x v="52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7"/>
  </r>
  <r>
    <x v="55"/>
    <s v="S56_2023_11"/>
    <x v="2"/>
    <s v="Construction"/>
    <x v="55"/>
    <s v="Irène"/>
    <x v="24"/>
    <x v="68"/>
    <x v="52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7"/>
  </r>
  <r>
    <x v="53"/>
    <s v="S54_2023_11"/>
    <x v="0"/>
    <s v="Construction"/>
    <x v="53"/>
    <s v="Frida"/>
    <x v="24"/>
    <x v="68"/>
    <x v="52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7"/>
  </r>
  <r>
    <x v="37"/>
    <s v="S38_2023_11"/>
    <x v="2"/>
    <s v="Maintenance"/>
    <x v="37"/>
    <s v="Christian"/>
    <x v="7"/>
    <x v="68"/>
    <x v="52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7"/>
  </r>
  <r>
    <x v="18"/>
    <s v="S19_2023_11"/>
    <x v="0"/>
    <s v="Maintenance"/>
    <x v="18"/>
    <s v="Faly"/>
    <x v="7"/>
    <x v="68"/>
    <x v="52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7"/>
  </r>
  <r>
    <x v="7"/>
    <s v="S08_2023_11"/>
    <x v="0"/>
    <s v="Transversal"/>
    <x v="7"/>
    <s v="Onja"/>
    <x v="6"/>
    <x v="68"/>
    <x v="52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7"/>
  </r>
  <r>
    <x v="0"/>
    <s v="S01_2023_11"/>
    <x v="0"/>
    <s v="Maintenance"/>
    <x v="0"/>
    <s v="Gaetan"/>
    <x v="0"/>
    <x v="68"/>
    <x v="52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7"/>
  </r>
  <r>
    <x v="12"/>
    <s v="S13_2023_11"/>
    <x v="1"/>
    <s v="Transversal"/>
    <x v="12"/>
    <s v="Herizo"/>
    <x v="10"/>
    <x v="68"/>
    <x v="52"/>
    <d v="2023-09-25T00:00:00"/>
    <n v="2500000"/>
    <n v="3023415"/>
    <n v="3023415"/>
    <n v="0"/>
    <n v="0"/>
    <n v="0"/>
    <n v="0"/>
    <n v="19040"/>
    <n v="504375"/>
    <n v="3004375"/>
    <n v="4000"/>
    <m/>
    <n v="1904000"/>
    <n v="285600"/>
    <x v="1"/>
    <x v="0"/>
    <x v="0"/>
    <x v="17"/>
  </r>
  <r>
    <x v="29"/>
    <s v="S30_2023_11"/>
    <x v="2"/>
    <s v="Transversal"/>
    <x v="29"/>
    <s v="Marie Jeanne"/>
    <x v="9"/>
    <x v="68"/>
    <x v="52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7"/>
  </r>
  <r>
    <x v="11"/>
    <s v="S12_2023_11"/>
    <x v="0"/>
    <s v="Transversal"/>
    <x v="11"/>
    <s v="Benedictine"/>
    <x v="9"/>
    <x v="68"/>
    <x v="52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7"/>
  </r>
  <r>
    <x v="10"/>
    <s v="S11_2023_11"/>
    <x v="0"/>
    <s v="Transversal"/>
    <x v="10"/>
    <s v="Raoul"/>
    <x v="8"/>
    <x v="68"/>
    <x v="52"/>
    <d v="2023-11-27T00:00:00"/>
    <n v="418200"/>
    <n v="361400"/>
    <n v="425451"/>
    <n v="27068"/>
    <n v="20623"/>
    <n v="0"/>
    <n v="11"/>
    <n v="4254.51"/>
    <n v="3000"/>
    <n v="421196"/>
    <n v="6000"/>
    <m/>
    <n v="425451"/>
    <n v="63818"/>
    <x v="1"/>
    <x v="0"/>
    <x v="4"/>
    <x v="17"/>
  </r>
  <r>
    <x v="13"/>
    <s v="S14_2023_11"/>
    <x v="0"/>
    <s v="Transversal"/>
    <x v="13"/>
    <s v="Rene"/>
    <x v="8"/>
    <x v="68"/>
    <x v="52"/>
    <d v="2023-11-27T00:00:00"/>
    <n v="440300"/>
    <n v="361400"/>
    <n v="447759"/>
    <n v="27068"/>
    <n v="20623"/>
    <n v="1"/>
    <n v="21"/>
    <n v="4477.59"/>
    <n v="3000"/>
    <n v="443281"/>
    <n v="8000"/>
    <m/>
    <n v="447759"/>
    <n v="67164"/>
    <x v="1"/>
    <x v="0"/>
    <x v="4"/>
    <x v="17"/>
  </r>
  <r>
    <x v="16"/>
    <s v="S17_2023_11"/>
    <x v="0"/>
    <s v="Transversal"/>
    <x v="16"/>
    <s v="Velonasy"/>
    <x v="8"/>
    <x v="68"/>
    <x v="52"/>
    <d v="2023-11-27T00:00:00"/>
    <n v="402000"/>
    <n v="361400"/>
    <n v="409091"/>
    <n v="27068"/>
    <n v="20623"/>
    <n v="0"/>
    <n v="0"/>
    <n v="4090.91"/>
    <n v="3000"/>
    <n v="405000"/>
    <n v="6000"/>
    <m/>
    <n v="409091"/>
    <n v="61364"/>
    <x v="1"/>
    <x v="0"/>
    <x v="4"/>
    <x v="17"/>
  </r>
  <r>
    <x v="5"/>
    <s v="S06_2023_11"/>
    <x v="1"/>
    <s v="Transversal"/>
    <x v="5"/>
    <s v="Michel"/>
    <x v="4"/>
    <x v="68"/>
    <x v="52"/>
    <d v="2023-03-27T00:00:00"/>
    <n v="662500"/>
    <n v="712121"/>
    <n v="712121"/>
    <n v="0"/>
    <n v="0"/>
    <n v="0"/>
    <n v="0"/>
    <n v="7121.21"/>
    <n v="42500"/>
    <n v="705000"/>
    <n v="6000"/>
    <m/>
    <n v="712121"/>
    <n v="106818"/>
    <x v="1"/>
    <x v="1"/>
    <x v="2"/>
    <x v="17"/>
  </r>
  <r>
    <x v="33"/>
    <s v="S34_2023_11"/>
    <x v="1"/>
    <s v="Transversal"/>
    <x v="33"/>
    <s v="Valérie"/>
    <x v="16"/>
    <x v="68"/>
    <x v="52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7"/>
  </r>
  <r>
    <x v="23"/>
    <s v="S24_2023_11"/>
    <x v="2"/>
    <s v="Transversal"/>
    <x v="23"/>
    <s v="Christophe"/>
    <x v="14"/>
    <x v="68"/>
    <x v="52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7"/>
  </r>
  <r>
    <x v="35"/>
    <s v="S36_2023_11"/>
    <x v="2"/>
    <s v="Transversal"/>
    <x v="35"/>
    <s v="Judicaël"/>
    <x v="3"/>
    <x v="68"/>
    <x v="52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7"/>
  </r>
  <r>
    <x v="4"/>
    <s v="S05_2023_11"/>
    <x v="0"/>
    <s v="Transversal"/>
    <x v="4"/>
    <s v="Florentin"/>
    <x v="3"/>
    <x v="68"/>
    <x v="52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7"/>
  </r>
  <r>
    <x v="56"/>
    <s v="S59_2023_11"/>
    <x v="2"/>
    <s v="Construction"/>
    <x v="56"/>
    <s v="Niaina"/>
    <x v="25"/>
    <x v="68"/>
    <x v="52"/>
    <d v="2023-10-25T00:00:00"/>
    <n v="1500000"/>
    <n v="1777146"/>
    <n v="1777146"/>
    <n v="0"/>
    <n v="0"/>
    <n v="0"/>
    <n v="0"/>
    <n v="17771.46"/>
    <n v="259375"/>
    <n v="1759375"/>
    <n v="0"/>
    <m/>
    <n v="1777146"/>
    <n v="266572"/>
    <x v="28"/>
    <x v="0"/>
    <x v="0"/>
    <x v="17"/>
  </r>
  <r>
    <x v="8"/>
    <s v="S09_2023_11"/>
    <x v="2"/>
    <s v="Maintenance"/>
    <x v="8"/>
    <s v="Rinon"/>
    <x v="1"/>
    <x v="68"/>
    <x v="52"/>
    <d v="2023-03-27T00:00:00"/>
    <n v="470000"/>
    <n v="480920"/>
    <n v="480920"/>
    <n v="0"/>
    <n v="0"/>
    <n v="0"/>
    <n v="0"/>
    <n v="4809.2"/>
    <n v="6111"/>
    <n v="476111"/>
    <n v="4000"/>
    <m/>
    <n v="480920"/>
    <n v="72138"/>
    <x v="1"/>
    <x v="1"/>
    <x v="1"/>
    <x v="17"/>
  </r>
  <r>
    <x v="24"/>
    <s v="S25_2023_11"/>
    <x v="2"/>
    <s v="Maintenance"/>
    <x v="24"/>
    <s v="Doris"/>
    <x v="1"/>
    <x v="68"/>
    <x v="52"/>
    <d v="2023-03-27T00:00:00"/>
    <n v="550000"/>
    <n v="574569"/>
    <n v="574569"/>
    <n v="0"/>
    <n v="0"/>
    <n v="0"/>
    <n v="0"/>
    <n v="5745.69"/>
    <n v="18823"/>
    <n v="568823"/>
    <n v="4000"/>
    <m/>
    <n v="574569"/>
    <n v="86185"/>
    <x v="8"/>
    <x v="1"/>
    <x v="1"/>
    <x v="17"/>
  </r>
  <r>
    <x v="58"/>
    <s v="S61_2023_11"/>
    <x v="2"/>
    <s v="Maintenance"/>
    <x v="58"/>
    <s v="Danny"/>
    <x v="1"/>
    <x v="68"/>
    <x v="52"/>
    <d v="2023-11-27T00:00:00"/>
    <e v="#REF!"/>
    <n v="11388"/>
    <e v="#REF!"/>
    <n v="0"/>
    <n v="0"/>
    <n v="0"/>
    <n v="0"/>
    <e v="#REF!"/>
    <e v="#REF!"/>
    <e v="#REF!"/>
    <n v="0"/>
    <m/>
    <e v="#REF!"/>
    <e v="#REF!"/>
    <x v="30"/>
    <x v="0"/>
    <x v="1"/>
    <x v="17"/>
  </r>
  <r>
    <x v="9"/>
    <s v="S10_2023_12"/>
    <x v="2"/>
    <s v="Maintenance"/>
    <x v="9"/>
    <s v="Alain"/>
    <x v="7"/>
    <x v="69"/>
    <x v="53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7"/>
  </r>
  <r>
    <x v="30"/>
    <s v="S31_2023_12"/>
    <x v="2"/>
    <s v="Maintenance"/>
    <x v="30"/>
    <s v="Fabiolain"/>
    <x v="1"/>
    <x v="69"/>
    <x v="53"/>
    <d v="2023-12-21T00:00:00"/>
    <e v="#REF!"/>
    <n v="15250"/>
    <e v="#REF!"/>
    <n v="0"/>
    <n v="0"/>
    <n v="0"/>
    <n v="0"/>
    <e v="#REF!"/>
    <e v="#REF!"/>
    <e v="#REF!"/>
    <n v="2000"/>
    <m/>
    <e v="#REF!"/>
    <e v="#REF!"/>
    <x v="9"/>
    <x v="11"/>
    <x v="1"/>
    <x v="17"/>
  </r>
  <r>
    <x v="52"/>
    <s v="S53_2023_12"/>
    <x v="2"/>
    <s v="Maintenance"/>
    <x v="52"/>
    <s v="Ginot"/>
    <x v="1"/>
    <x v="69"/>
    <x v="53"/>
    <d v="2023-12-21T00:00:00"/>
    <e v="#REF!"/>
    <n v="15250"/>
    <e v="#REF!"/>
    <n v="0"/>
    <n v="0"/>
    <n v="0"/>
    <n v="0"/>
    <e v="#REF!"/>
    <e v="#REF!"/>
    <e v="#REF!"/>
    <n v="0"/>
    <m/>
    <e v="#REF!"/>
    <e v="#REF!"/>
    <x v="24"/>
    <x v="0"/>
    <x v="1"/>
    <x v="17"/>
  </r>
  <r>
    <x v="19"/>
    <s v="S20_2023_12"/>
    <x v="3"/>
    <s v="Maintenance"/>
    <x v="19"/>
    <s v="Manitrasina"/>
    <x v="1"/>
    <x v="69"/>
    <x v="53"/>
    <d v="2023-12-21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7"/>
  </r>
  <r>
    <x v="41"/>
    <s v="S42_2023_12"/>
    <x v="3"/>
    <s v="Maintenance"/>
    <x v="41"/>
    <s v="Fifaliana"/>
    <x v="1"/>
    <x v="69"/>
    <x v="53"/>
    <d v="2023-12-21T00:00:00"/>
    <n v="11300"/>
    <n v="14400"/>
    <n v="14400"/>
    <n v="0"/>
    <n v="0"/>
    <n v="0"/>
    <n v="0"/>
    <n v="144"/>
    <n v="3000"/>
    <n v="14256"/>
    <n v="0"/>
    <m/>
    <n v="14400"/>
    <n v="2160"/>
    <x v="19"/>
    <x v="0"/>
    <x v="1"/>
    <x v="17"/>
  </r>
  <r>
    <x v="42"/>
    <s v="S43_2023_12"/>
    <x v="3"/>
    <s v="Maintenance"/>
    <x v="42"/>
    <s v="Hery"/>
    <x v="1"/>
    <x v="69"/>
    <x v="53"/>
    <d v="2023-12-21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7"/>
  </r>
  <r>
    <x v="31"/>
    <s v="S32_2023_12"/>
    <x v="0"/>
    <s v="Maintenance"/>
    <x v="31"/>
    <s v="Francot"/>
    <x v="1"/>
    <x v="69"/>
    <x v="53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7"/>
  </r>
  <r>
    <x v="32"/>
    <s v="S33_2023_12"/>
    <x v="0"/>
    <s v="Maintenance"/>
    <x v="32"/>
    <s v="Perolin"/>
    <x v="1"/>
    <x v="69"/>
    <x v="53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7"/>
  </r>
  <r>
    <x v="47"/>
    <s v="S48_2023_12"/>
    <x v="0"/>
    <s v="Maintenance"/>
    <x v="47"/>
    <s v="Seva Christophe"/>
    <x v="1"/>
    <x v="69"/>
    <x v="53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2"/>
    <x v="1"/>
    <x v="17"/>
  </r>
  <r>
    <x v="27"/>
    <s v="S28_2023_12"/>
    <x v="2"/>
    <s v="Construction"/>
    <x v="27"/>
    <s v="Rodin"/>
    <x v="1"/>
    <x v="69"/>
    <x v="53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7"/>
  </r>
  <r>
    <x v="44"/>
    <s v="S45_2023_12"/>
    <x v="2"/>
    <s v="Construction"/>
    <x v="44"/>
    <s v="Antonio"/>
    <x v="5"/>
    <x v="69"/>
    <x v="53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7"/>
  </r>
  <r>
    <x v="45"/>
    <s v="S46_2023_12"/>
    <x v="2"/>
    <s v="Maintenance"/>
    <x v="45"/>
    <s v="Angeliot"/>
    <x v="1"/>
    <x v="69"/>
    <x v="53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7"/>
  </r>
  <r>
    <x v="15"/>
    <s v="S16_2023_12"/>
    <x v="0"/>
    <s v="Maintenance"/>
    <x v="15"/>
    <s v="Victorien"/>
    <x v="7"/>
    <x v="69"/>
    <x v="53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7"/>
  </r>
  <r>
    <x v="25"/>
    <s v="S26_2023_12"/>
    <x v="0"/>
    <s v="Construction"/>
    <x v="25"/>
    <s v="Anicet"/>
    <x v="5"/>
    <x v="69"/>
    <x v="53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7"/>
  </r>
  <r>
    <x v="39"/>
    <s v="S40_2023_12"/>
    <x v="3"/>
    <s v="Maintenance"/>
    <x v="39"/>
    <s v="Nalaina"/>
    <x v="20"/>
    <x v="69"/>
    <x v="53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7"/>
  </r>
  <r>
    <x v="49"/>
    <s v="S50_2023_12"/>
    <x v="1"/>
    <s v="Transversal"/>
    <x v="49"/>
    <s v="Sandrine"/>
    <x v="22"/>
    <x v="69"/>
    <x v="53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7"/>
  </r>
  <r>
    <x v="38"/>
    <s v="S39_2023_12"/>
    <x v="3"/>
    <s v="Maintenance"/>
    <x v="38"/>
    <s v="Lydie"/>
    <x v="19"/>
    <x v="69"/>
    <x v="53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7"/>
  </r>
  <r>
    <x v="55"/>
    <s v="S56_2023_12"/>
    <x v="2"/>
    <s v="Construction"/>
    <x v="55"/>
    <s v="Irène"/>
    <x v="24"/>
    <x v="69"/>
    <x v="53"/>
    <d v="2023-03-24T00:00:00"/>
    <n v="200000"/>
    <n v="205051"/>
    <n v="205051"/>
    <n v="0"/>
    <n v="0"/>
    <n v="0"/>
    <n v="0"/>
    <n v="2050.5100000000002"/>
    <n v="3000"/>
    <n v="203000"/>
    <n v="2000"/>
    <m/>
    <n v="205051"/>
    <n v="30758"/>
    <x v="27"/>
    <x v="0"/>
    <x v="1"/>
    <x v="17"/>
  </r>
  <r>
    <x v="53"/>
    <s v="S54_2023_12"/>
    <x v="0"/>
    <s v="Construction"/>
    <x v="53"/>
    <s v="Frida"/>
    <x v="24"/>
    <x v="69"/>
    <x v="53"/>
    <d v="2022-11-25T00:00:00"/>
    <n v="200000"/>
    <n v="205051"/>
    <n v="205051"/>
    <n v="0"/>
    <n v="0"/>
    <n v="0"/>
    <n v="0"/>
    <n v="2050.5100000000002"/>
    <n v="3000"/>
    <n v="203000"/>
    <n v="6000"/>
    <m/>
    <n v="205051"/>
    <n v="30758"/>
    <x v="25"/>
    <x v="0"/>
    <x v="1"/>
    <x v="17"/>
  </r>
  <r>
    <x v="37"/>
    <s v="S38_2023_12"/>
    <x v="2"/>
    <s v="Maintenance"/>
    <x v="37"/>
    <s v="Christian"/>
    <x v="7"/>
    <x v="69"/>
    <x v="53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7"/>
  </r>
  <r>
    <x v="18"/>
    <s v="S19_2023_12"/>
    <x v="0"/>
    <s v="Maintenance"/>
    <x v="18"/>
    <s v="Faly"/>
    <x v="7"/>
    <x v="69"/>
    <x v="53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7"/>
  </r>
  <r>
    <x v="7"/>
    <s v="S08_2023_12"/>
    <x v="0"/>
    <s v="Transversal"/>
    <x v="7"/>
    <s v="Onja"/>
    <x v="6"/>
    <x v="69"/>
    <x v="53"/>
    <d v="2023-03-27T00:00:00"/>
    <n v="980000"/>
    <n v="1120581"/>
    <n v="1120581"/>
    <n v="0"/>
    <n v="0"/>
    <n v="0"/>
    <n v="0"/>
    <n v="11205.81"/>
    <n v="129375"/>
    <n v="1109375"/>
    <n v="0"/>
    <m/>
    <n v="1120581"/>
    <n v="168087"/>
    <x v="2"/>
    <x v="0"/>
    <x v="0"/>
    <x v="17"/>
  </r>
  <r>
    <x v="0"/>
    <s v="S01_2023_12"/>
    <x v="0"/>
    <s v="Maintenance"/>
    <x v="0"/>
    <s v="Gaetan"/>
    <x v="0"/>
    <x v="69"/>
    <x v="53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7"/>
  </r>
  <r>
    <x v="12"/>
    <s v="S13_2023_12"/>
    <x v="1"/>
    <s v="Transversal"/>
    <x v="12"/>
    <s v="Herizo"/>
    <x v="10"/>
    <x v="69"/>
    <x v="53"/>
    <d v="2023-09-25T00:00:00"/>
    <n v="2500000"/>
    <n v="3023415"/>
    <n v="3023415"/>
    <n v="0"/>
    <n v="0"/>
    <n v="0"/>
    <n v="0"/>
    <n v="19040"/>
    <n v="504375"/>
    <n v="3004375"/>
    <n v="4000"/>
    <m/>
    <n v="1904000"/>
    <n v="285600"/>
    <x v="1"/>
    <x v="0"/>
    <x v="0"/>
    <x v="17"/>
  </r>
  <r>
    <x v="29"/>
    <s v="S30_2023_12"/>
    <x v="2"/>
    <s v="Transversal"/>
    <x v="29"/>
    <s v="Marie Jeanne"/>
    <x v="9"/>
    <x v="69"/>
    <x v="53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7"/>
  </r>
  <r>
    <x v="11"/>
    <s v="S12_2023_12"/>
    <x v="0"/>
    <s v="Transversal"/>
    <x v="11"/>
    <s v="Benedictine"/>
    <x v="9"/>
    <x v="69"/>
    <x v="53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7"/>
  </r>
  <r>
    <x v="10"/>
    <s v="S11_2023_12"/>
    <x v="0"/>
    <s v="Transversal"/>
    <x v="10"/>
    <s v="Raoul"/>
    <x v="8"/>
    <x v="69"/>
    <x v="53"/>
    <d v="2023-12-21T00:00:00"/>
    <n v="499100"/>
    <n v="361400"/>
    <n v="511711"/>
    <n v="27068"/>
    <n v="20623"/>
    <n v="0"/>
    <n v="69"/>
    <n v="5117.1099999999997"/>
    <n v="7489"/>
    <n v="506594"/>
    <n v="6000"/>
    <m/>
    <n v="511711"/>
    <n v="76757"/>
    <x v="1"/>
    <x v="0"/>
    <x v="4"/>
    <x v="17"/>
  </r>
  <r>
    <x v="13"/>
    <s v="S14_2023_12"/>
    <x v="0"/>
    <s v="Transversal"/>
    <x v="13"/>
    <s v="Rene"/>
    <x v="8"/>
    <x v="69"/>
    <x v="53"/>
    <d v="2023-12-21T00:00:00"/>
    <n v="402000"/>
    <n v="361400"/>
    <n v="409091"/>
    <n v="27068"/>
    <n v="20623"/>
    <n v="0"/>
    <n v="0"/>
    <n v="4090.91"/>
    <n v="3000"/>
    <n v="405000"/>
    <n v="8000"/>
    <m/>
    <n v="409091"/>
    <n v="61364"/>
    <x v="1"/>
    <x v="0"/>
    <x v="4"/>
    <x v="17"/>
  </r>
  <r>
    <x v="16"/>
    <s v="S17_2023_12"/>
    <x v="0"/>
    <s v="Transversal"/>
    <x v="16"/>
    <s v="Velonasy"/>
    <x v="8"/>
    <x v="69"/>
    <x v="53"/>
    <d v="2023-12-21T00:00:00"/>
    <n v="474300"/>
    <n v="361400"/>
    <n v="483453"/>
    <n v="27068"/>
    <n v="20623"/>
    <n v="1"/>
    <n v="45"/>
    <n v="4834.53"/>
    <n v="4362"/>
    <n v="478618"/>
    <n v="6000"/>
    <m/>
    <n v="483453"/>
    <n v="72518"/>
    <x v="1"/>
    <x v="0"/>
    <x v="4"/>
    <x v="17"/>
  </r>
  <r>
    <x v="33"/>
    <s v="S34_2023_12"/>
    <x v="1"/>
    <s v="Transversal"/>
    <x v="33"/>
    <s v="Valérie"/>
    <x v="16"/>
    <x v="69"/>
    <x v="53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7"/>
  </r>
  <r>
    <x v="23"/>
    <s v="S24_2023_12"/>
    <x v="2"/>
    <s v="Transversal"/>
    <x v="23"/>
    <s v="Christophe"/>
    <x v="14"/>
    <x v="69"/>
    <x v="53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7"/>
  </r>
  <r>
    <x v="35"/>
    <s v="S36_2023_12"/>
    <x v="2"/>
    <s v="Transversal"/>
    <x v="35"/>
    <s v="Judicaël"/>
    <x v="3"/>
    <x v="69"/>
    <x v="53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7"/>
  </r>
  <r>
    <x v="4"/>
    <s v="S05_2023_12"/>
    <x v="0"/>
    <s v="Transversal"/>
    <x v="4"/>
    <s v="Florentin"/>
    <x v="3"/>
    <x v="69"/>
    <x v="53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7"/>
  </r>
  <r>
    <x v="56"/>
    <s v="S59_2023_12"/>
    <x v="2"/>
    <s v="Construction"/>
    <x v="56"/>
    <s v="Niaina"/>
    <x v="25"/>
    <x v="69"/>
    <x v="53"/>
    <d v="2023-10-25T00:00:00"/>
    <n v="1500000"/>
    <n v="1777146"/>
    <n v="1777146"/>
    <n v="0"/>
    <n v="0"/>
    <n v="0"/>
    <n v="0"/>
    <n v="17771.46"/>
    <n v="259375"/>
    <n v="1759375"/>
    <n v="0"/>
    <m/>
    <n v="1777146"/>
    <n v="266572"/>
    <x v="28"/>
    <x v="0"/>
    <x v="0"/>
    <x v="17"/>
  </r>
  <r>
    <x v="58"/>
    <s v="S61_2023_12"/>
    <x v="2"/>
    <s v="Maintenance"/>
    <x v="58"/>
    <s v="Danny"/>
    <x v="1"/>
    <x v="69"/>
    <x v="53"/>
    <d v="2023-12-21T00:00:00"/>
    <e v="#REF!"/>
    <n v="11388"/>
    <e v="#REF!"/>
    <n v="0"/>
    <n v="0"/>
    <n v="0"/>
    <n v="0"/>
    <e v="#REF!"/>
    <e v="#REF!"/>
    <e v="#REF!"/>
    <n v="0"/>
    <m/>
    <e v="#REF!"/>
    <e v="#REF!"/>
    <x v="30"/>
    <x v="0"/>
    <x v="1"/>
    <x v="17"/>
  </r>
  <r>
    <x v="9"/>
    <s v="S10_2024_1"/>
    <x v="2"/>
    <s v="Maintenance"/>
    <x v="9"/>
    <s v="Alain"/>
    <x v="7"/>
    <x v="70"/>
    <x v="54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8"/>
  </r>
  <r>
    <x v="30"/>
    <s v="S31_2024_1"/>
    <x v="2"/>
    <s v="Maintenance"/>
    <x v="30"/>
    <s v="Fabiolain"/>
    <x v="1"/>
    <x v="70"/>
    <x v="54"/>
    <d v="2024-01-30T00:00:00"/>
    <n v="253700"/>
    <n v="15250"/>
    <n v="259250"/>
    <n v="0"/>
    <n v="0"/>
    <n v="0"/>
    <n v="0"/>
    <n v="2592.5"/>
    <e v="#REF!"/>
    <e v="#REF!"/>
    <n v="2000"/>
    <m/>
    <n v="259250"/>
    <n v="38888"/>
    <x v="9"/>
    <x v="11"/>
    <x v="1"/>
    <x v="18"/>
  </r>
  <r>
    <x v="52"/>
    <s v="S53_2024_1"/>
    <x v="2"/>
    <s v="Maintenance"/>
    <x v="52"/>
    <s v="Ginot"/>
    <x v="1"/>
    <x v="70"/>
    <x v="54"/>
    <d v="2024-01-30T00:00:00"/>
    <e v="#REF!"/>
    <n v="15250"/>
    <e v="#REF!"/>
    <n v="0"/>
    <n v="0"/>
    <n v="0"/>
    <n v="0"/>
    <e v="#REF!"/>
    <e v="#REF!"/>
    <e v="#REF!"/>
    <n v="0"/>
    <m/>
    <e v="#REF!"/>
    <e v="#REF!"/>
    <x v="24"/>
    <x v="0"/>
    <x v="1"/>
    <x v="18"/>
  </r>
  <r>
    <x v="19"/>
    <s v="S20_2024_1"/>
    <x v="3"/>
    <s v="Maintenance"/>
    <x v="19"/>
    <s v="Manitrasina"/>
    <x v="1"/>
    <x v="70"/>
    <x v="54"/>
    <d v="2024-01-30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8"/>
  </r>
  <r>
    <x v="41"/>
    <s v="S42_2024_1"/>
    <x v="3"/>
    <s v="Maintenance"/>
    <x v="41"/>
    <s v="Fifaliana"/>
    <x v="1"/>
    <x v="70"/>
    <x v="54"/>
    <d v="2024-01-30T00:00:00"/>
    <n v="310600"/>
    <n v="14400"/>
    <n v="316800"/>
    <n v="0"/>
    <n v="0"/>
    <n v="0"/>
    <n v="0"/>
    <n v="3168"/>
    <n v="3000"/>
    <n v="14256"/>
    <n v="0"/>
    <m/>
    <n v="316800"/>
    <n v="47520"/>
    <x v="19"/>
    <x v="0"/>
    <x v="1"/>
    <x v="18"/>
  </r>
  <r>
    <x v="42"/>
    <s v="S43_2024_1"/>
    <x v="3"/>
    <s v="Maintenance"/>
    <x v="42"/>
    <s v="Hery"/>
    <x v="1"/>
    <x v="70"/>
    <x v="54"/>
    <d v="2024-01-30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8"/>
  </r>
  <r>
    <x v="31"/>
    <s v="S32_2024_1"/>
    <x v="0"/>
    <s v="Maintenance"/>
    <x v="31"/>
    <s v="Francot"/>
    <x v="1"/>
    <x v="70"/>
    <x v="54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8"/>
  </r>
  <r>
    <x v="32"/>
    <s v="S33_2024_1"/>
    <x v="0"/>
    <s v="Maintenance"/>
    <x v="32"/>
    <s v="Perolin"/>
    <x v="1"/>
    <x v="70"/>
    <x v="54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8"/>
  </r>
  <r>
    <x v="27"/>
    <s v="S28_2024_1"/>
    <x v="2"/>
    <s v="Construction"/>
    <x v="27"/>
    <s v="Rodin"/>
    <x v="1"/>
    <x v="70"/>
    <x v="54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8"/>
  </r>
  <r>
    <x v="44"/>
    <s v="S45_2024_1"/>
    <x v="2"/>
    <s v="Construction"/>
    <x v="44"/>
    <s v="Antonio"/>
    <x v="5"/>
    <x v="70"/>
    <x v="54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8"/>
  </r>
  <r>
    <x v="45"/>
    <s v="S46_2024_1"/>
    <x v="2"/>
    <s v="Maintenance"/>
    <x v="45"/>
    <s v="Angeliot"/>
    <x v="1"/>
    <x v="70"/>
    <x v="54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8"/>
  </r>
  <r>
    <x v="15"/>
    <s v="S16_2024_1"/>
    <x v="0"/>
    <s v="Maintenance"/>
    <x v="15"/>
    <s v="Victorien"/>
    <x v="7"/>
    <x v="70"/>
    <x v="54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8"/>
  </r>
  <r>
    <x v="25"/>
    <s v="S26_2024_1"/>
    <x v="0"/>
    <s v="Construction"/>
    <x v="25"/>
    <s v="Anicet"/>
    <x v="5"/>
    <x v="70"/>
    <x v="54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8"/>
  </r>
  <r>
    <x v="39"/>
    <s v="S40_2024_1"/>
    <x v="3"/>
    <s v="Maintenance"/>
    <x v="39"/>
    <s v="Nalaina"/>
    <x v="20"/>
    <x v="70"/>
    <x v="54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8"/>
  </r>
  <r>
    <x v="49"/>
    <s v="S50_2024_1"/>
    <x v="1"/>
    <s v="Transversal"/>
    <x v="49"/>
    <s v="Sandrine"/>
    <x v="22"/>
    <x v="70"/>
    <x v="54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8"/>
  </r>
  <r>
    <x v="38"/>
    <s v="S39_2024_1"/>
    <x v="3"/>
    <s v="Maintenance"/>
    <x v="38"/>
    <s v="Lydie"/>
    <x v="19"/>
    <x v="70"/>
    <x v="54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8"/>
  </r>
  <r>
    <x v="53"/>
    <s v="S54_2024_1"/>
    <x v="0"/>
    <s v="Construction"/>
    <x v="53"/>
    <s v="Frida"/>
    <x v="24"/>
    <x v="70"/>
    <x v="54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18"/>
  </r>
  <r>
    <x v="55"/>
    <s v="S56_2024_1"/>
    <x v="2"/>
    <s v="Construction"/>
    <x v="55"/>
    <s v="Irène"/>
    <x v="24"/>
    <x v="70"/>
    <x v="54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18"/>
  </r>
  <r>
    <x v="37"/>
    <s v="S38_2024_1"/>
    <x v="2"/>
    <s v="Maintenance"/>
    <x v="37"/>
    <s v="Christian"/>
    <x v="7"/>
    <x v="70"/>
    <x v="54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8"/>
  </r>
  <r>
    <x v="18"/>
    <s v="S19_2024_1"/>
    <x v="0"/>
    <s v="Maintenance"/>
    <x v="18"/>
    <s v="Faly"/>
    <x v="7"/>
    <x v="70"/>
    <x v="54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8"/>
  </r>
  <r>
    <x v="7"/>
    <s v="S08_2024_1"/>
    <x v="0"/>
    <s v="Transversal"/>
    <x v="7"/>
    <s v="Onja"/>
    <x v="6"/>
    <x v="70"/>
    <x v="54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18"/>
  </r>
  <r>
    <x v="0"/>
    <s v="S01_2024_1"/>
    <x v="0"/>
    <s v="Maintenance"/>
    <x v="0"/>
    <s v="Gaetan"/>
    <x v="0"/>
    <x v="70"/>
    <x v="54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8"/>
  </r>
  <r>
    <x v="12"/>
    <s v="S13_2024_1"/>
    <x v="1"/>
    <s v="Transversal"/>
    <x v="12"/>
    <s v="Herizo"/>
    <x v="10"/>
    <x v="70"/>
    <x v="54"/>
    <d v="2023-09-25T00:00:00"/>
    <n v="2500000"/>
    <n v="3023415"/>
    <n v="3023415"/>
    <n v="0"/>
    <n v="0"/>
    <n v="0"/>
    <n v="0"/>
    <n v="19040"/>
    <n v="504375"/>
    <n v="3004375"/>
    <n v="4000"/>
    <m/>
    <n v="1904000"/>
    <n v="285600"/>
    <x v="1"/>
    <x v="0"/>
    <x v="0"/>
    <x v="18"/>
  </r>
  <r>
    <x v="29"/>
    <s v="S30_2024_1"/>
    <x v="2"/>
    <s v="Transversal"/>
    <x v="29"/>
    <s v="Marie Jeanne"/>
    <x v="9"/>
    <x v="70"/>
    <x v="54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8"/>
  </r>
  <r>
    <x v="11"/>
    <s v="S12_2024_1"/>
    <x v="0"/>
    <s v="Transversal"/>
    <x v="11"/>
    <s v="Benedictine"/>
    <x v="9"/>
    <x v="70"/>
    <x v="54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8"/>
  </r>
  <r>
    <x v="10"/>
    <s v="S11_2024_1"/>
    <x v="0"/>
    <s v="Transversal"/>
    <x v="10"/>
    <s v="Raoul"/>
    <x v="8"/>
    <x v="70"/>
    <x v="54"/>
    <d v="2024-01-30T00:00:00"/>
    <n v="402000"/>
    <n v="361400"/>
    <n v="409091"/>
    <n v="27068"/>
    <n v="20623"/>
    <n v="0"/>
    <n v="0"/>
    <n v="4090.91"/>
    <n v="3000"/>
    <n v="405000"/>
    <n v="6000"/>
    <m/>
    <n v="409091"/>
    <n v="61364"/>
    <x v="1"/>
    <x v="0"/>
    <x v="4"/>
    <x v="18"/>
  </r>
  <r>
    <x v="13"/>
    <s v="S14_2024_1"/>
    <x v="0"/>
    <s v="Transversal"/>
    <x v="13"/>
    <s v="Rene"/>
    <x v="8"/>
    <x v="70"/>
    <x v="54"/>
    <d v="2024-01-30T00:00:00"/>
    <n v="409400"/>
    <n v="361400"/>
    <n v="416527"/>
    <n v="27068"/>
    <n v="20623"/>
    <n v="1"/>
    <n v="0"/>
    <n v="4165.2700000000004"/>
    <n v="3000"/>
    <n v="412362"/>
    <n v="8000"/>
    <m/>
    <n v="416527"/>
    <n v="62479"/>
    <x v="1"/>
    <x v="0"/>
    <x v="4"/>
    <x v="18"/>
  </r>
  <r>
    <x v="16"/>
    <s v="S17_2024_1"/>
    <x v="0"/>
    <s v="Transversal"/>
    <x v="16"/>
    <s v="Velonasy"/>
    <x v="8"/>
    <x v="70"/>
    <x v="54"/>
    <d v="2024-01-30T00:00:00"/>
    <n v="418200"/>
    <n v="361400"/>
    <n v="425451"/>
    <n v="27068"/>
    <n v="20623"/>
    <n v="0"/>
    <n v="11"/>
    <n v="4254.51"/>
    <n v="3000"/>
    <n v="421196"/>
    <n v="6000"/>
    <m/>
    <n v="425451"/>
    <n v="63818"/>
    <x v="1"/>
    <x v="0"/>
    <x v="4"/>
    <x v="18"/>
  </r>
  <r>
    <x v="33"/>
    <s v="S34_2024_1"/>
    <x v="1"/>
    <s v="Transversal"/>
    <x v="33"/>
    <s v="Valérie"/>
    <x v="16"/>
    <x v="70"/>
    <x v="54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8"/>
  </r>
  <r>
    <x v="23"/>
    <s v="S24_2024_1"/>
    <x v="2"/>
    <s v="Transversal"/>
    <x v="23"/>
    <s v="Christophe"/>
    <x v="14"/>
    <x v="70"/>
    <x v="54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8"/>
  </r>
  <r>
    <x v="35"/>
    <s v="S36_2024_1"/>
    <x v="2"/>
    <s v="Transversal"/>
    <x v="35"/>
    <s v="Judicaël"/>
    <x v="3"/>
    <x v="70"/>
    <x v="54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8"/>
  </r>
  <r>
    <x v="4"/>
    <s v="S05_2024_1"/>
    <x v="0"/>
    <s v="Transversal"/>
    <x v="4"/>
    <s v="Florentin"/>
    <x v="3"/>
    <x v="70"/>
    <x v="54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8"/>
  </r>
  <r>
    <x v="56"/>
    <s v="S59_2024_1"/>
    <x v="2"/>
    <s v="Construction"/>
    <x v="56"/>
    <s v="Niaina"/>
    <x v="25"/>
    <x v="70"/>
    <x v="54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18"/>
  </r>
  <r>
    <x v="58"/>
    <s v="S61_2024_1"/>
    <x v="2"/>
    <s v="Maintenance"/>
    <x v="58"/>
    <s v="Danny"/>
    <x v="1"/>
    <x v="70"/>
    <x v="54"/>
    <d v="2024-01-30T00:00:00"/>
    <e v="#REF!"/>
    <n v="11388"/>
    <e v="#REF!"/>
    <n v="0"/>
    <n v="0"/>
    <n v="0"/>
    <n v="0"/>
    <e v="#REF!"/>
    <e v="#REF!"/>
    <e v="#REF!"/>
    <n v="0"/>
    <m/>
    <e v="#REF!"/>
    <e v="#REF!"/>
    <x v="30"/>
    <x v="0"/>
    <x v="1"/>
    <x v="18"/>
  </r>
  <r>
    <x v="9"/>
    <s v="S10_2024_2"/>
    <x v="2"/>
    <s v="Maintenance"/>
    <x v="9"/>
    <s v="Alain"/>
    <x v="7"/>
    <x v="71"/>
    <x v="55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8"/>
  </r>
  <r>
    <x v="30"/>
    <s v="S31_2024_2"/>
    <x v="2"/>
    <s v="Maintenance"/>
    <x v="30"/>
    <s v="Fabiolain"/>
    <x v="1"/>
    <x v="71"/>
    <x v="55"/>
    <d v="2024-01-30T00:00:00"/>
    <n v="253700"/>
    <n v="15250"/>
    <n v="259250"/>
    <n v="0"/>
    <n v="0"/>
    <n v="0"/>
    <n v="0"/>
    <n v="2592.5"/>
    <e v="#REF!"/>
    <e v="#REF!"/>
    <n v="2000"/>
    <m/>
    <n v="259250"/>
    <n v="38888"/>
    <x v="9"/>
    <x v="11"/>
    <x v="1"/>
    <x v="18"/>
  </r>
  <r>
    <x v="52"/>
    <s v="S53_2024_2"/>
    <x v="2"/>
    <s v="Maintenance"/>
    <x v="52"/>
    <s v="Ginot"/>
    <x v="1"/>
    <x v="71"/>
    <x v="55"/>
    <d v="2024-02-26T00:00:00"/>
    <e v="#REF!"/>
    <n v="15250"/>
    <e v="#REF!"/>
    <n v="0"/>
    <n v="0"/>
    <n v="0"/>
    <n v="0"/>
    <e v="#REF!"/>
    <e v="#REF!"/>
    <e v="#REF!"/>
    <n v="0"/>
    <m/>
    <e v="#REF!"/>
    <e v="#REF!"/>
    <x v="24"/>
    <x v="0"/>
    <x v="1"/>
    <x v="18"/>
  </r>
  <r>
    <x v="19"/>
    <s v="S20_2024_2"/>
    <x v="3"/>
    <s v="Maintenance"/>
    <x v="19"/>
    <s v="Manitrasina"/>
    <x v="1"/>
    <x v="71"/>
    <x v="55"/>
    <d v="2024-02-26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8"/>
  </r>
  <r>
    <x v="41"/>
    <s v="S42_2024_2"/>
    <x v="3"/>
    <s v="Maintenance"/>
    <x v="41"/>
    <s v="Fifaliana"/>
    <x v="1"/>
    <x v="71"/>
    <x v="55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18"/>
  </r>
  <r>
    <x v="42"/>
    <s v="S43_2024_2"/>
    <x v="3"/>
    <s v="Maintenance"/>
    <x v="42"/>
    <s v="Hery"/>
    <x v="1"/>
    <x v="71"/>
    <x v="55"/>
    <d v="2024-02-26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8"/>
  </r>
  <r>
    <x v="31"/>
    <s v="S32_2024_2"/>
    <x v="0"/>
    <s v="Maintenance"/>
    <x v="31"/>
    <s v="Francot"/>
    <x v="1"/>
    <x v="71"/>
    <x v="55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8"/>
  </r>
  <r>
    <x v="32"/>
    <s v="S33_2024_2"/>
    <x v="0"/>
    <s v="Maintenance"/>
    <x v="32"/>
    <s v="Perolin"/>
    <x v="1"/>
    <x v="71"/>
    <x v="55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8"/>
  </r>
  <r>
    <x v="27"/>
    <s v="S28_2024_2"/>
    <x v="2"/>
    <s v="Construction"/>
    <x v="27"/>
    <s v="Rodin"/>
    <x v="1"/>
    <x v="71"/>
    <x v="55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8"/>
  </r>
  <r>
    <x v="44"/>
    <s v="S45_2024_2"/>
    <x v="2"/>
    <s v="Construction"/>
    <x v="44"/>
    <s v="Antonio"/>
    <x v="5"/>
    <x v="71"/>
    <x v="55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8"/>
  </r>
  <r>
    <x v="45"/>
    <s v="S46_2024_2"/>
    <x v="2"/>
    <s v="Maintenance"/>
    <x v="45"/>
    <s v="Angeliot"/>
    <x v="1"/>
    <x v="71"/>
    <x v="55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8"/>
  </r>
  <r>
    <x v="15"/>
    <s v="S16_2024_2"/>
    <x v="0"/>
    <s v="Maintenance"/>
    <x v="15"/>
    <s v="Victorien"/>
    <x v="7"/>
    <x v="71"/>
    <x v="55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8"/>
  </r>
  <r>
    <x v="25"/>
    <s v="S26_2024_2"/>
    <x v="0"/>
    <s v="Construction"/>
    <x v="25"/>
    <s v="Anicet"/>
    <x v="5"/>
    <x v="71"/>
    <x v="55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8"/>
  </r>
  <r>
    <x v="39"/>
    <s v="S40_2024_2"/>
    <x v="3"/>
    <s v="Maintenance"/>
    <x v="39"/>
    <s v="Nalaina"/>
    <x v="20"/>
    <x v="71"/>
    <x v="55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8"/>
  </r>
  <r>
    <x v="49"/>
    <s v="S50_2024_2"/>
    <x v="1"/>
    <s v="Transversal"/>
    <x v="49"/>
    <s v="Sandrine"/>
    <x v="22"/>
    <x v="71"/>
    <x v="55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8"/>
  </r>
  <r>
    <x v="38"/>
    <s v="S39_2024_2"/>
    <x v="3"/>
    <s v="Maintenance"/>
    <x v="38"/>
    <s v="Lydie"/>
    <x v="19"/>
    <x v="71"/>
    <x v="55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8"/>
  </r>
  <r>
    <x v="53"/>
    <s v="S54_2024_2"/>
    <x v="0"/>
    <s v="Construction"/>
    <x v="53"/>
    <s v="Frida"/>
    <x v="24"/>
    <x v="71"/>
    <x v="55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18"/>
  </r>
  <r>
    <x v="55"/>
    <s v="S56_2024_2"/>
    <x v="2"/>
    <s v="Construction"/>
    <x v="55"/>
    <s v="Irène"/>
    <x v="24"/>
    <x v="71"/>
    <x v="55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18"/>
  </r>
  <r>
    <x v="37"/>
    <s v="S38_2024_2"/>
    <x v="2"/>
    <s v="Maintenance"/>
    <x v="37"/>
    <s v="Christian"/>
    <x v="7"/>
    <x v="71"/>
    <x v="55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8"/>
  </r>
  <r>
    <x v="18"/>
    <s v="S19_2024_2"/>
    <x v="0"/>
    <s v="Maintenance"/>
    <x v="18"/>
    <s v="Faly"/>
    <x v="7"/>
    <x v="71"/>
    <x v="55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8"/>
  </r>
  <r>
    <x v="7"/>
    <s v="S08_2024_2"/>
    <x v="0"/>
    <s v="Transversal"/>
    <x v="7"/>
    <s v="Onja"/>
    <x v="6"/>
    <x v="71"/>
    <x v="55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18"/>
  </r>
  <r>
    <x v="0"/>
    <s v="S01_2024_2"/>
    <x v="0"/>
    <s v="Maintenance"/>
    <x v="0"/>
    <s v="Gaetan"/>
    <x v="0"/>
    <x v="71"/>
    <x v="55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8"/>
  </r>
  <r>
    <x v="12"/>
    <s v="S13_2024_2"/>
    <x v="1"/>
    <s v="Transversal"/>
    <x v="12"/>
    <s v="Herizo"/>
    <x v="10"/>
    <x v="71"/>
    <x v="55"/>
    <d v="2023-09-25T00:00:00"/>
    <n v="2500000"/>
    <n v="3023415"/>
    <n v="3023415"/>
    <n v="0"/>
    <n v="0"/>
    <n v="0"/>
    <n v="0"/>
    <n v="19040"/>
    <n v="504375"/>
    <n v="3004375"/>
    <n v="4000"/>
    <m/>
    <n v="1904000"/>
    <n v="285600"/>
    <x v="1"/>
    <x v="0"/>
    <x v="0"/>
    <x v="18"/>
  </r>
  <r>
    <x v="29"/>
    <s v="S30_2024_2"/>
    <x v="2"/>
    <s v="Transversal"/>
    <x v="29"/>
    <s v="Marie Jeanne"/>
    <x v="9"/>
    <x v="71"/>
    <x v="55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8"/>
  </r>
  <r>
    <x v="11"/>
    <s v="S12_2024_2"/>
    <x v="0"/>
    <s v="Transversal"/>
    <x v="11"/>
    <s v="Benedictine"/>
    <x v="9"/>
    <x v="71"/>
    <x v="55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8"/>
  </r>
  <r>
    <x v="10"/>
    <s v="S11_2024_2"/>
    <x v="0"/>
    <s v="Transversal"/>
    <x v="10"/>
    <s v="Raoul"/>
    <x v="8"/>
    <x v="71"/>
    <x v="55"/>
    <d v="2024-02-26T00:00:00"/>
    <n v="402000"/>
    <n v="361400"/>
    <n v="409091"/>
    <n v="27068"/>
    <n v="20623"/>
    <n v="0"/>
    <n v="0"/>
    <n v="4090.91"/>
    <n v="3000"/>
    <n v="405000"/>
    <n v="6000"/>
    <m/>
    <n v="409091"/>
    <n v="61364"/>
    <x v="1"/>
    <x v="0"/>
    <x v="4"/>
    <x v="18"/>
  </r>
  <r>
    <x v="13"/>
    <s v="S14_2024_2"/>
    <x v="0"/>
    <s v="Transversal"/>
    <x v="13"/>
    <s v="Rene"/>
    <x v="8"/>
    <x v="71"/>
    <x v="55"/>
    <d v="2024-02-26T00:00:00"/>
    <n v="402000"/>
    <n v="361400"/>
    <n v="409091"/>
    <n v="27068"/>
    <n v="20623"/>
    <n v="0"/>
    <n v="0"/>
    <n v="4090.91"/>
    <n v="3000"/>
    <n v="405000"/>
    <n v="8000"/>
    <m/>
    <n v="409091"/>
    <n v="61364"/>
    <x v="1"/>
    <x v="0"/>
    <x v="4"/>
    <x v="18"/>
  </r>
  <r>
    <x v="16"/>
    <s v="S17_2024_2"/>
    <x v="0"/>
    <s v="Transversal"/>
    <x v="16"/>
    <s v="Velonasy"/>
    <x v="8"/>
    <x v="71"/>
    <x v="55"/>
    <d v="2024-02-26T00:00:00"/>
    <n v="402000"/>
    <n v="361400"/>
    <n v="409091"/>
    <n v="27068"/>
    <n v="20623"/>
    <n v="0"/>
    <n v="0"/>
    <n v="4090.91"/>
    <n v="3000"/>
    <n v="405000"/>
    <n v="6000"/>
    <m/>
    <n v="409091"/>
    <n v="61364"/>
    <x v="1"/>
    <x v="0"/>
    <x v="4"/>
    <x v="18"/>
  </r>
  <r>
    <x v="33"/>
    <s v="S34_2024_2"/>
    <x v="1"/>
    <s v="Transversal"/>
    <x v="33"/>
    <s v="Valérie"/>
    <x v="16"/>
    <x v="71"/>
    <x v="55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8"/>
  </r>
  <r>
    <x v="23"/>
    <s v="S24_2024_2"/>
    <x v="2"/>
    <s v="Transversal"/>
    <x v="23"/>
    <s v="Christophe"/>
    <x v="14"/>
    <x v="71"/>
    <x v="55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8"/>
  </r>
  <r>
    <x v="35"/>
    <s v="S36_2024_2"/>
    <x v="2"/>
    <s v="Transversal"/>
    <x v="35"/>
    <s v="Judicaël"/>
    <x v="3"/>
    <x v="71"/>
    <x v="55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8"/>
  </r>
  <r>
    <x v="4"/>
    <s v="S05_2024_2"/>
    <x v="0"/>
    <s v="Transversal"/>
    <x v="4"/>
    <s v="Florentin"/>
    <x v="3"/>
    <x v="71"/>
    <x v="55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8"/>
  </r>
  <r>
    <x v="56"/>
    <s v="S59_2024_2"/>
    <x v="2"/>
    <s v="Construction"/>
    <x v="56"/>
    <s v="Niaina"/>
    <x v="25"/>
    <x v="71"/>
    <x v="55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18"/>
  </r>
  <r>
    <x v="58"/>
    <s v="S61_2024_2"/>
    <x v="2"/>
    <s v="Maintenance"/>
    <x v="58"/>
    <s v="Danny"/>
    <x v="1"/>
    <x v="71"/>
    <x v="55"/>
    <d v="2024-03-26T00:00:00"/>
    <e v="#REF!"/>
    <n v="11388"/>
    <e v="#REF!"/>
    <n v="0"/>
    <n v="0"/>
    <n v="0"/>
    <n v="0"/>
    <e v="#REF!"/>
    <e v="#REF!"/>
    <e v="#REF!"/>
    <n v="0"/>
    <m/>
    <e v="#REF!"/>
    <e v="#REF!"/>
    <x v="30"/>
    <x v="0"/>
    <x v="1"/>
    <x v="18"/>
  </r>
  <r>
    <x v="59"/>
    <s v="S64_2024_2"/>
    <x v="0"/>
    <s v="Maintenance"/>
    <x v="59"/>
    <s v="Syressi"/>
    <x v="1"/>
    <x v="71"/>
    <x v="55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8"/>
  </r>
  <r>
    <x v="60"/>
    <s v="S65_2024_2"/>
    <x v="0"/>
    <s v="Maintenance"/>
    <x v="60"/>
    <s v="Stanislas"/>
    <x v="1"/>
    <x v="71"/>
    <x v="55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8"/>
  </r>
  <r>
    <x v="9"/>
    <s v="S10_2024_3"/>
    <x v="2"/>
    <s v="Maintenance"/>
    <x v="9"/>
    <s v="Alain"/>
    <x v="7"/>
    <x v="72"/>
    <x v="56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8"/>
  </r>
  <r>
    <x v="30"/>
    <s v="S31_2024_3"/>
    <x v="2"/>
    <s v="Maintenance"/>
    <x v="30"/>
    <s v="Fabiolain"/>
    <x v="1"/>
    <x v="72"/>
    <x v="56"/>
    <d v="2024-03-26T00:00:00"/>
    <e v="#REF!"/>
    <n v="15250"/>
    <e v="#REF!"/>
    <n v="0"/>
    <n v="0"/>
    <n v="0"/>
    <n v="0"/>
    <e v="#REF!"/>
    <e v="#REF!"/>
    <e v="#REF!"/>
    <n v="0"/>
    <m/>
    <e v="#REF!"/>
    <e v="#REF!"/>
    <x v="9"/>
    <x v="11"/>
    <x v="1"/>
    <x v="18"/>
  </r>
  <r>
    <x v="52"/>
    <s v="S53_2024_3"/>
    <x v="2"/>
    <s v="Maintenance"/>
    <x v="52"/>
    <s v="Ginot"/>
    <x v="1"/>
    <x v="72"/>
    <x v="56"/>
    <d v="2024-03-26T00:00:00"/>
    <e v="#REF!"/>
    <n v="15250"/>
    <e v="#REF!"/>
    <n v="0"/>
    <n v="0"/>
    <n v="0"/>
    <n v="0"/>
    <e v="#REF!"/>
    <e v="#REF!"/>
    <e v="#REF!"/>
    <n v="0"/>
    <m/>
    <e v="#REF!"/>
    <e v="#REF!"/>
    <x v="24"/>
    <x v="0"/>
    <x v="1"/>
    <x v="18"/>
  </r>
  <r>
    <x v="19"/>
    <s v="S20_2024_3"/>
    <x v="3"/>
    <s v="Maintenance"/>
    <x v="19"/>
    <s v="Manitrasina"/>
    <x v="1"/>
    <x v="72"/>
    <x v="56"/>
    <d v="2024-03-26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8"/>
  </r>
  <r>
    <x v="41"/>
    <s v="S42_2024_3"/>
    <x v="3"/>
    <s v="Maintenance"/>
    <x v="41"/>
    <s v="Fifaliana"/>
    <x v="1"/>
    <x v="72"/>
    <x v="56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18"/>
  </r>
  <r>
    <x v="42"/>
    <s v="S43_2024_3"/>
    <x v="3"/>
    <s v="Maintenance"/>
    <x v="42"/>
    <s v="Hery"/>
    <x v="1"/>
    <x v="72"/>
    <x v="56"/>
    <d v="2024-03-26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8"/>
  </r>
  <r>
    <x v="31"/>
    <s v="S32_2024_3"/>
    <x v="0"/>
    <s v="Maintenance"/>
    <x v="31"/>
    <s v="Francot"/>
    <x v="1"/>
    <x v="72"/>
    <x v="56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8"/>
  </r>
  <r>
    <x v="32"/>
    <s v="S33_2024_3"/>
    <x v="0"/>
    <s v="Maintenance"/>
    <x v="32"/>
    <s v="Perolin"/>
    <x v="1"/>
    <x v="72"/>
    <x v="56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8"/>
  </r>
  <r>
    <x v="27"/>
    <s v="S28_2024_3"/>
    <x v="2"/>
    <s v="Construction"/>
    <x v="27"/>
    <s v="Rodin"/>
    <x v="1"/>
    <x v="72"/>
    <x v="56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8"/>
  </r>
  <r>
    <x v="44"/>
    <s v="S45_2024_3"/>
    <x v="2"/>
    <s v="Construction"/>
    <x v="44"/>
    <s v="Antonio"/>
    <x v="5"/>
    <x v="72"/>
    <x v="56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8"/>
  </r>
  <r>
    <x v="45"/>
    <s v="S46_2024_3"/>
    <x v="2"/>
    <s v="Maintenance"/>
    <x v="45"/>
    <s v="Angeliot"/>
    <x v="1"/>
    <x v="72"/>
    <x v="56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8"/>
  </r>
  <r>
    <x v="15"/>
    <s v="S16_2024_3"/>
    <x v="0"/>
    <s v="Maintenance"/>
    <x v="15"/>
    <s v="Victorien"/>
    <x v="7"/>
    <x v="72"/>
    <x v="56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8"/>
  </r>
  <r>
    <x v="25"/>
    <s v="S26_2024_3"/>
    <x v="0"/>
    <s v="Construction"/>
    <x v="25"/>
    <s v="Anicet"/>
    <x v="5"/>
    <x v="72"/>
    <x v="56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8"/>
  </r>
  <r>
    <x v="39"/>
    <s v="S40_2024_3"/>
    <x v="3"/>
    <s v="Maintenance"/>
    <x v="39"/>
    <s v="Nalaina"/>
    <x v="20"/>
    <x v="72"/>
    <x v="56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8"/>
  </r>
  <r>
    <x v="49"/>
    <s v="S50_2024_3"/>
    <x v="1"/>
    <s v="Transversal"/>
    <x v="49"/>
    <s v="Sandrine"/>
    <x v="22"/>
    <x v="72"/>
    <x v="56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8"/>
  </r>
  <r>
    <x v="38"/>
    <s v="S39_2024_3"/>
    <x v="3"/>
    <s v="Maintenance"/>
    <x v="38"/>
    <s v="Lydie"/>
    <x v="19"/>
    <x v="72"/>
    <x v="56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8"/>
  </r>
  <r>
    <x v="53"/>
    <s v="S54_2024_3"/>
    <x v="0"/>
    <s v="Construction"/>
    <x v="53"/>
    <s v="Frida"/>
    <x v="24"/>
    <x v="72"/>
    <x v="56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18"/>
  </r>
  <r>
    <x v="55"/>
    <s v="S56_2024_3"/>
    <x v="2"/>
    <s v="Construction"/>
    <x v="55"/>
    <s v="Irène"/>
    <x v="24"/>
    <x v="72"/>
    <x v="56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18"/>
  </r>
  <r>
    <x v="37"/>
    <s v="S38_2024_3"/>
    <x v="2"/>
    <s v="Maintenance"/>
    <x v="37"/>
    <s v="Christian"/>
    <x v="7"/>
    <x v="72"/>
    <x v="56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8"/>
  </r>
  <r>
    <x v="18"/>
    <s v="S19_2024_3"/>
    <x v="0"/>
    <s v="Maintenance"/>
    <x v="18"/>
    <s v="Faly"/>
    <x v="7"/>
    <x v="72"/>
    <x v="56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8"/>
  </r>
  <r>
    <x v="7"/>
    <s v="S08_2024_3"/>
    <x v="0"/>
    <s v="Transversal"/>
    <x v="7"/>
    <s v="Onja"/>
    <x v="6"/>
    <x v="72"/>
    <x v="56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18"/>
  </r>
  <r>
    <x v="0"/>
    <s v="S01_2024_3"/>
    <x v="0"/>
    <s v="Maintenance"/>
    <x v="0"/>
    <s v="Gaetan"/>
    <x v="0"/>
    <x v="72"/>
    <x v="56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8"/>
  </r>
  <r>
    <x v="12"/>
    <s v="S13_2024_3"/>
    <x v="1"/>
    <s v="Transversal"/>
    <x v="12"/>
    <s v="Herizo"/>
    <x v="10"/>
    <x v="72"/>
    <x v="56"/>
    <d v="2023-09-25T00:00:00"/>
    <n v="2500000"/>
    <n v="3023415"/>
    <n v="3023415"/>
    <n v="0"/>
    <n v="0"/>
    <n v="0"/>
    <n v="0"/>
    <n v="19040"/>
    <n v="504375"/>
    <n v="3004375"/>
    <n v="4000"/>
    <m/>
    <n v="1904000"/>
    <n v="285600"/>
    <x v="1"/>
    <x v="0"/>
    <x v="0"/>
    <x v="18"/>
  </r>
  <r>
    <x v="29"/>
    <s v="S30_2024_3"/>
    <x v="2"/>
    <s v="Transversal"/>
    <x v="29"/>
    <s v="Marie Jeanne"/>
    <x v="9"/>
    <x v="72"/>
    <x v="56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8"/>
  </r>
  <r>
    <x v="11"/>
    <s v="S12_2024_3"/>
    <x v="0"/>
    <s v="Transversal"/>
    <x v="11"/>
    <s v="Benedictine"/>
    <x v="9"/>
    <x v="72"/>
    <x v="56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8"/>
  </r>
  <r>
    <x v="10"/>
    <s v="S11_2024_3"/>
    <x v="0"/>
    <s v="Transversal"/>
    <x v="10"/>
    <s v="Raoul"/>
    <x v="8"/>
    <x v="72"/>
    <x v="56"/>
    <d v="2024-03-26T00:00:00"/>
    <n v="409400"/>
    <n v="361400"/>
    <n v="416527"/>
    <n v="27068"/>
    <n v="20623"/>
    <n v="1"/>
    <n v="0"/>
    <n v="4165.2700000000004"/>
    <n v="3000"/>
    <n v="412362"/>
    <n v="6000"/>
    <m/>
    <n v="416527"/>
    <n v="62479"/>
    <x v="1"/>
    <x v="0"/>
    <x v="4"/>
    <x v="18"/>
  </r>
  <r>
    <x v="13"/>
    <s v="S14_2024_3"/>
    <x v="0"/>
    <s v="Transversal"/>
    <x v="13"/>
    <s v="Rene"/>
    <x v="8"/>
    <x v="72"/>
    <x v="56"/>
    <d v="2024-03-26T00:00:00"/>
    <n v="501100"/>
    <n v="361400"/>
    <n v="511711"/>
    <n v="27068"/>
    <n v="20623"/>
    <n v="0"/>
    <n v="69"/>
    <n v="5117.1099999999997"/>
    <n v="5489"/>
    <n v="506594"/>
    <n v="8000"/>
    <m/>
    <n v="511711"/>
    <n v="76757"/>
    <x v="1"/>
    <x v="0"/>
    <x v="4"/>
    <x v="18"/>
  </r>
  <r>
    <x v="16"/>
    <s v="S17_2024_3"/>
    <x v="0"/>
    <s v="Transversal"/>
    <x v="16"/>
    <s v="Velonasy"/>
    <x v="8"/>
    <x v="72"/>
    <x v="56"/>
    <d v="2024-03-26T00:00:00"/>
    <n v="479600"/>
    <n v="361400"/>
    <n v="489402"/>
    <n v="27068"/>
    <n v="20623"/>
    <n v="1"/>
    <n v="49"/>
    <n v="4894.0200000000004"/>
    <n v="4951"/>
    <n v="484508"/>
    <n v="6000"/>
    <m/>
    <n v="489402"/>
    <n v="73410"/>
    <x v="1"/>
    <x v="0"/>
    <x v="4"/>
    <x v="18"/>
  </r>
  <r>
    <x v="33"/>
    <s v="S34_2024_3"/>
    <x v="1"/>
    <s v="Transversal"/>
    <x v="33"/>
    <s v="Valérie"/>
    <x v="16"/>
    <x v="72"/>
    <x v="56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8"/>
  </r>
  <r>
    <x v="23"/>
    <s v="S24_2024_3"/>
    <x v="2"/>
    <s v="Transversal"/>
    <x v="23"/>
    <s v="Christophe"/>
    <x v="14"/>
    <x v="72"/>
    <x v="56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8"/>
  </r>
  <r>
    <x v="35"/>
    <s v="S36_2024_3"/>
    <x v="2"/>
    <s v="Transversal"/>
    <x v="35"/>
    <s v="Judicaël"/>
    <x v="3"/>
    <x v="72"/>
    <x v="56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8"/>
  </r>
  <r>
    <x v="4"/>
    <s v="S05_2024_3"/>
    <x v="0"/>
    <s v="Transversal"/>
    <x v="4"/>
    <s v="Florentin"/>
    <x v="3"/>
    <x v="72"/>
    <x v="56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8"/>
  </r>
  <r>
    <x v="56"/>
    <s v="S59_2024_3"/>
    <x v="2"/>
    <s v="Construction"/>
    <x v="56"/>
    <s v="Niaina"/>
    <x v="25"/>
    <x v="72"/>
    <x v="56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18"/>
  </r>
  <r>
    <x v="58"/>
    <s v="S61_2024_3"/>
    <x v="2"/>
    <s v="Maintenance"/>
    <x v="58"/>
    <s v="Danny"/>
    <x v="1"/>
    <x v="72"/>
    <x v="56"/>
    <d v="2024-03-26T00:00:00"/>
    <e v="#REF!"/>
    <n v="11388"/>
    <e v="#REF!"/>
    <n v="0"/>
    <n v="0"/>
    <n v="0"/>
    <n v="0"/>
    <e v="#REF!"/>
    <e v="#REF!"/>
    <e v="#REF!"/>
    <n v="0"/>
    <m/>
    <e v="#REF!"/>
    <e v="#REF!"/>
    <x v="30"/>
    <x v="0"/>
    <x v="1"/>
    <x v="18"/>
  </r>
  <r>
    <x v="59"/>
    <s v="S64_2024_3"/>
    <x v="0"/>
    <s v="Maintenance"/>
    <x v="59"/>
    <s v="Syressi"/>
    <x v="1"/>
    <x v="72"/>
    <x v="56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8"/>
  </r>
  <r>
    <x v="60"/>
    <s v="S65_2024_3"/>
    <x v="0"/>
    <s v="Maintenance"/>
    <x v="60"/>
    <s v="Stanislas"/>
    <x v="1"/>
    <x v="72"/>
    <x v="56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8"/>
  </r>
  <r>
    <x v="61"/>
    <s v="S67_2024_3"/>
    <x v="2"/>
    <s v="Maintenance"/>
    <x v="61"/>
    <s v="Sandro"/>
    <x v="1"/>
    <x v="72"/>
    <x v="56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18"/>
  </r>
  <r>
    <x v="9"/>
    <s v="S10_2024_4"/>
    <x v="2"/>
    <s v="Maintenance"/>
    <x v="9"/>
    <s v="Alain"/>
    <x v="7"/>
    <x v="73"/>
    <x v="57"/>
    <d v="2023-03-27T00:00:00"/>
    <n v="480000"/>
    <n v="494388"/>
    <n v="494388"/>
    <n v="0"/>
    <n v="0"/>
    <n v="0"/>
    <n v="0"/>
    <n v="4943.88"/>
    <n v="9444"/>
    <n v="489444"/>
    <n v="2000"/>
    <m/>
    <n v="494388"/>
    <n v="74158"/>
    <x v="1"/>
    <x v="0"/>
    <x v="3"/>
    <x v="19"/>
  </r>
  <r>
    <x v="52"/>
    <s v="S53_2024_4"/>
    <x v="2"/>
    <s v="Maintenance"/>
    <x v="52"/>
    <s v="Ginot"/>
    <x v="1"/>
    <x v="73"/>
    <x v="57"/>
    <d v="2024-04-26T00:00:00"/>
    <e v="#REF!"/>
    <n v="15250"/>
    <e v="#REF!"/>
    <n v="0"/>
    <n v="0"/>
    <n v="0"/>
    <n v="0"/>
    <e v="#REF!"/>
    <e v="#REF!"/>
    <e v="#REF!"/>
    <n v="0"/>
    <m/>
    <e v="#REF!"/>
    <e v="#REF!"/>
    <x v="24"/>
    <x v="0"/>
    <x v="1"/>
    <x v="19"/>
  </r>
  <r>
    <x v="19"/>
    <s v="S20_2024_4"/>
    <x v="3"/>
    <s v="Maintenance"/>
    <x v="19"/>
    <s v="Manitrasina"/>
    <x v="1"/>
    <x v="73"/>
    <x v="57"/>
    <d v="2024-04-26T00:00:00"/>
    <n v="13800"/>
    <n v="17000"/>
    <n v="17000"/>
    <n v="0"/>
    <n v="0"/>
    <n v="0"/>
    <n v="0"/>
    <n v="170"/>
    <n v="3000"/>
    <n v="16830"/>
    <n v="2000"/>
    <m/>
    <n v="17000"/>
    <n v="2550"/>
    <x v="5"/>
    <x v="0"/>
    <x v="1"/>
    <x v="19"/>
  </r>
  <r>
    <x v="41"/>
    <s v="S42_2024_4"/>
    <x v="3"/>
    <s v="Maintenance"/>
    <x v="41"/>
    <s v="Fifaliana"/>
    <x v="1"/>
    <x v="73"/>
    <x v="57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19"/>
  </r>
  <r>
    <x v="42"/>
    <s v="S43_2024_4"/>
    <x v="3"/>
    <s v="Maintenance"/>
    <x v="42"/>
    <s v="Hery"/>
    <x v="1"/>
    <x v="73"/>
    <x v="57"/>
    <d v="2024-04-26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9"/>
  </r>
  <r>
    <x v="31"/>
    <s v="S32_2024_4"/>
    <x v="0"/>
    <s v="Maintenance"/>
    <x v="31"/>
    <s v="Francot"/>
    <x v="1"/>
    <x v="73"/>
    <x v="57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0"/>
    <x v="12"/>
    <x v="1"/>
    <x v="19"/>
  </r>
  <r>
    <x v="32"/>
    <s v="S33_2024_4"/>
    <x v="0"/>
    <s v="Maintenance"/>
    <x v="32"/>
    <s v="Perolin"/>
    <x v="1"/>
    <x v="73"/>
    <x v="57"/>
    <d v="2023-03-27T00:00:00"/>
    <n v="380000"/>
    <n v="386869"/>
    <n v="386869"/>
    <n v="0"/>
    <n v="0"/>
    <n v="0"/>
    <n v="0"/>
    <n v="3868.69"/>
    <n v="3000"/>
    <n v="383000"/>
    <n v="2000"/>
    <m/>
    <n v="386869"/>
    <n v="58030"/>
    <x v="11"/>
    <x v="0"/>
    <x v="1"/>
    <x v="19"/>
  </r>
  <r>
    <x v="27"/>
    <s v="S28_2024_4"/>
    <x v="2"/>
    <s v="Construction"/>
    <x v="27"/>
    <s v="Rodin"/>
    <x v="1"/>
    <x v="73"/>
    <x v="57"/>
    <d v="2023-03-27T00:00:00"/>
    <n v="440000"/>
    <n v="451739"/>
    <n v="451739"/>
    <n v="0"/>
    <n v="0"/>
    <n v="0"/>
    <n v="0"/>
    <n v="4517.3900000000003"/>
    <n v="7222"/>
    <n v="447222"/>
    <n v="0"/>
    <m/>
    <n v="451739"/>
    <n v="67761"/>
    <x v="8"/>
    <x v="0"/>
    <x v="1"/>
    <x v="19"/>
  </r>
  <r>
    <x v="44"/>
    <s v="S45_2024_4"/>
    <x v="2"/>
    <s v="Construction"/>
    <x v="44"/>
    <s v="Antonio"/>
    <x v="5"/>
    <x v="73"/>
    <x v="57"/>
    <d v="2023-03-27T00:00:00"/>
    <n v="390000"/>
    <n v="396970"/>
    <n v="396970"/>
    <n v="0"/>
    <n v="0"/>
    <n v="0"/>
    <n v="0"/>
    <n v="3969.7"/>
    <n v="3000"/>
    <n v="393000"/>
    <n v="2000"/>
    <m/>
    <n v="396970"/>
    <n v="59546"/>
    <x v="20"/>
    <x v="19"/>
    <x v="1"/>
    <x v="19"/>
  </r>
  <r>
    <x v="45"/>
    <s v="S46_2024_4"/>
    <x v="2"/>
    <s v="Maintenance"/>
    <x v="45"/>
    <s v="Angeliot"/>
    <x v="1"/>
    <x v="73"/>
    <x v="57"/>
    <d v="2023-03-27T00:00:00"/>
    <n v="370000"/>
    <n v="376768"/>
    <n v="376768"/>
    <n v="0"/>
    <n v="0"/>
    <n v="0"/>
    <n v="0"/>
    <n v="3767.68"/>
    <n v="3000"/>
    <n v="373000"/>
    <n v="2000"/>
    <m/>
    <n v="376768"/>
    <n v="56515"/>
    <x v="20"/>
    <x v="0"/>
    <x v="1"/>
    <x v="19"/>
  </r>
  <r>
    <x v="15"/>
    <s v="S16_2024_4"/>
    <x v="0"/>
    <s v="Maintenance"/>
    <x v="15"/>
    <s v="Victorien"/>
    <x v="7"/>
    <x v="73"/>
    <x v="57"/>
    <d v="2023-03-27T00:00:00"/>
    <n v="540000"/>
    <n v="565063"/>
    <n v="565063"/>
    <n v="0"/>
    <n v="0"/>
    <n v="0"/>
    <n v="0"/>
    <n v="5650.63"/>
    <n v="19412"/>
    <n v="559412"/>
    <n v="2000"/>
    <m/>
    <n v="565063"/>
    <n v="84759"/>
    <x v="1"/>
    <x v="0"/>
    <x v="3"/>
    <x v="19"/>
  </r>
  <r>
    <x v="25"/>
    <s v="S26_2024_4"/>
    <x v="0"/>
    <s v="Construction"/>
    <x v="25"/>
    <s v="Anicet"/>
    <x v="5"/>
    <x v="73"/>
    <x v="57"/>
    <d v="2023-03-27T00:00:00"/>
    <n v="450000"/>
    <n v="462963"/>
    <n v="462963"/>
    <n v="0"/>
    <n v="0"/>
    <n v="0"/>
    <n v="0"/>
    <n v="4629.63"/>
    <n v="8333"/>
    <n v="458333"/>
    <n v="0"/>
    <m/>
    <n v="462963"/>
    <n v="69444"/>
    <x v="8"/>
    <x v="0"/>
    <x v="1"/>
    <x v="19"/>
  </r>
  <r>
    <x v="39"/>
    <s v="S40_2024_4"/>
    <x v="3"/>
    <s v="Maintenance"/>
    <x v="39"/>
    <s v="Nalaina"/>
    <x v="20"/>
    <x v="73"/>
    <x v="57"/>
    <d v="2023-03-27T00:00:00"/>
    <n v="900000"/>
    <n v="1017045"/>
    <n v="1017045"/>
    <n v="0"/>
    <n v="0"/>
    <n v="0"/>
    <n v="0"/>
    <n v="10170.450000000001"/>
    <n v="106875"/>
    <n v="1006875"/>
    <n v="2000"/>
    <m/>
    <n v="1017045"/>
    <n v="152557"/>
    <x v="17"/>
    <x v="16"/>
    <x v="3"/>
    <x v="19"/>
  </r>
  <r>
    <x v="49"/>
    <s v="S50_2024_4"/>
    <x v="1"/>
    <s v="Transversal"/>
    <x v="49"/>
    <s v="Sandrine"/>
    <x v="22"/>
    <x v="73"/>
    <x v="57"/>
    <d v="2023-03-27T00:00:00"/>
    <n v="550000"/>
    <n v="576946"/>
    <n v="576946"/>
    <n v="0"/>
    <n v="0"/>
    <n v="0"/>
    <n v="0"/>
    <n v="5769.46"/>
    <n v="21177"/>
    <n v="571177"/>
    <n v="2000"/>
    <m/>
    <n v="576946"/>
    <n v="86542"/>
    <x v="21"/>
    <x v="0"/>
    <x v="1"/>
    <x v="19"/>
  </r>
  <r>
    <x v="38"/>
    <s v="S39_2024_4"/>
    <x v="3"/>
    <s v="Maintenance"/>
    <x v="38"/>
    <s v="Lydie"/>
    <x v="19"/>
    <x v="73"/>
    <x v="57"/>
    <d v="2023-03-27T00:00:00"/>
    <n v="890000"/>
    <n v="1006944"/>
    <n v="1006944"/>
    <n v="0"/>
    <n v="0"/>
    <n v="0"/>
    <n v="0"/>
    <n v="10069.44"/>
    <n v="106875"/>
    <n v="996875"/>
    <n v="0"/>
    <m/>
    <n v="1006944"/>
    <n v="151042"/>
    <x v="17"/>
    <x v="0"/>
    <x v="3"/>
    <x v="19"/>
  </r>
  <r>
    <x v="53"/>
    <s v="S54_2024_4"/>
    <x v="0"/>
    <s v="Construction"/>
    <x v="53"/>
    <s v="Frida"/>
    <x v="24"/>
    <x v="73"/>
    <x v="57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19"/>
  </r>
  <r>
    <x v="55"/>
    <s v="S56_2024_4"/>
    <x v="2"/>
    <s v="Construction"/>
    <x v="55"/>
    <s v="Irène"/>
    <x v="24"/>
    <x v="73"/>
    <x v="57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19"/>
  </r>
  <r>
    <x v="37"/>
    <s v="S38_2024_4"/>
    <x v="2"/>
    <s v="Maintenance"/>
    <x v="37"/>
    <s v="Christian"/>
    <x v="7"/>
    <x v="73"/>
    <x v="57"/>
    <d v="2023-03-27T00:00:00"/>
    <n v="650000"/>
    <n v="701389"/>
    <n v="701389"/>
    <n v="0"/>
    <n v="0"/>
    <n v="0"/>
    <n v="0"/>
    <n v="7013.89"/>
    <n v="44375"/>
    <n v="694375"/>
    <n v="2000"/>
    <m/>
    <n v="701389"/>
    <n v="105208"/>
    <x v="16"/>
    <x v="0"/>
    <x v="3"/>
    <x v="19"/>
  </r>
  <r>
    <x v="18"/>
    <s v="S19_2024_4"/>
    <x v="0"/>
    <s v="Maintenance"/>
    <x v="18"/>
    <s v="Faly"/>
    <x v="7"/>
    <x v="73"/>
    <x v="57"/>
    <d v="2023-03-27T00:00:00"/>
    <n v="850000"/>
    <n v="953914"/>
    <n v="953914"/>
    <n v="0"/>
    <n v="0"/>
    <n v="0"/>
    <n v="0"/>
    <n v="9539.14"/>
    <n v="94375"/>
    <n v="944375"/>
    <n v="2000"/>
    <m/>
    <n v="953914"/>
    <n v="143087"/>
    <x v="4"/>
    <x v="0"/>
    <x v="3"/>
    <x v="19"/>
  </r>
  <r>
    <x v="7"/>
    <s v="S08_2024_4"/>
    <x v="0"/>
    <s v="Transversal"/>
    <x v="7"/>
    <s v="Onja"/>
    <x v="6"/>
    <x v="73"/>
    <x v="57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19"/>
  </r>
  <r>
    <x v="0"/>
    <s v="S01_2024_4"/>
    <x v="0"/>
    <s v="Maintenance"/>
    <x v="0"/>
    <s v="Gaetan"/>
    <x v="0"/>
    <x v="73"/>
    <x v="57"/>
    <d v="2023-03-27T00:00:00"/>
    <n v="1200000"/>
    <n v="1390783"/>
    <n v="1390783"/>
    <n v="0"/>
    <n v="0"/>
    <n v="0"/>
    <n v="0"/>
    <n v="13907.83"/>
    <n v="176875"/>
    <n v="1376875"/>
    <n v="6000"/>
    <m/>
    <n v="1390783"/>
    <n v="208617"/>
    <x v="0"/>
    <x v="0"/>
    <x v="0"/>
    <x v="19"/>
  </r>
  <r>
    <x v="12"/>
    <s v="S13_2024_4"/>
    <x v="1"/>
    <s v="Transversal"/>
    <x v="12"/>
    <s v="Herizo"/>
    <x v="10"/>
    <x v="73"/>
    <x v="57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19"/>
  </r>
  <r>
    <x v="29"/>
    <s v="S30_2024_4"/>
    <x v="2"/>
    <s v="Transversal"/>
    <x v="29"/>
    <s v="Marie Jeanne"/>
    <x v="9"/>
    <x v="73"/>
    <x v="57"/>
    <d v="2023-03-27T00:00:00"/>
    <n v="115000"/>
    <n v="119192"/>
    <n v="119192"/>
    <n v="0"/>
    <n v="0"/>
    <n v="0"/>
    <n v="0"/>
    <n v="1191.92"/>
    <n v="3000"/>
    <n v="118000"/>
    <n v="6000"/>
    <m/>
    <n v="119192"/>
    <n v="17879"/>
    <x v="8"/>
    <x v="0"/>
    <x v="5"/>
    <x v="19"/>
  </r>
  <r>
    <x v="10"/>
    <s v="S11_2024_4"/>
    <x v="0"/>
    <s v="Transversal"/>
    <x v="10"/>
    <s v="Raoul"/>
    <x v="8"/>
    <x v="73"/>
    <x v="57"/>
    <d v="2024-02-26T00:00:00"/>
    <n v="402000"/>
    <n v="361400"/>
    <n v="409091"/>
    <n v="27068"/>
    <n v="20623"/>
    <n v="0"/>
    <n v="0"/>
    <n v="4090.91"/>
    <n v="3000"/>
    <n v="405000"/>
    <n v="6000"/>
    <m/>
    <n v="409091"/>
    <n v="61364"/>
    <x v="1"/>
    <x v="0"/>
    <x v="4"/>
    <x v="19"/>
  </r>
  <r>
    <x v="13"/>
    <s v="S14_2024_4"/>
    <x v="0"/>
    <s v="Transversal"/>
    <x v="13"/>
    <s v="Rene"/>
    <x v="8"/>
    <x v="73"/>
    <x v="57"/>
    <d v="2024-02-26T00:00:00"/>
    <n v="402000"/>
    <n v="361400"/>
    <n v="409091"/>
    <n v="27068"/>
    <n v="20623"/>
    <n v="0"/>
    <n v="0"/>
    <n v="4090.91"/>
    <n v="3000"/>
    <n v="405000"/>
    <n v="8000"/>
    <m/>
    <n v="409091"/>
    <n v="61364"/>
    <x v="1"/>
    <x v="0"/>
    <x v="4"/>
    <x v="19"/>
  </r>
  <r>
    <x v="16"/>
    <s v="S17_2024_4"/>
    <x v="0"/>
    <s v="Transversal"/>
    <x v="16"/>
    <s v="Velonasy"/>
    <x v="8"/>
    <x v="73"/>
    <x v="57"/>
    <d v="2024-04-26T00:00:00"/>
    <n v="416700"/>
    <n v="361400"/>
    <n v="423963"/>
    <n v="27068"/>
    <n v="20623"/>
    <n v="2"/>
    <n v="0"/>
    <n v="4239.63"/>
    <n v="3000"/>
    <n v="419723"/>
    <n v="6000"/>
    <m/>
    <n v="423963"/>
    <n v="63594"/>
    <x v="1"/>
    <x v="0"/>
    <x v="4"/>
    <x v="19"/>
  </r>
  <r>
    <x v="33"/>
    <s v="S34_2024_4"/>
    <x v="1"/>
    <s v="Transversal"/>
    <x v="33"/>
    <s v="Valérie"/>
    <x v="16"/>
    <x v="73"/>
    <x v="57"/>
    <d v="2023-03-27T00:00:00"/>
    <n v="800000"/>
    <n v="885732"/>
    <n v="885732"/>
    <n v="0"/>
    <n v="0"/>
    <n v="0"/>
    <n v="0"/>
    <n v="8857.32"/>
    <n v="76875"/>
    <n v="876875"/>
    <n v="6000"/>
    <m/>
    <n v="885732"/>
    <n v="132860"/>
    <x v="12"/>
    <x v="0"/>
    <x v="0"/>
    <x v="19"/>
  </r>
  <r>
    <x v="23"/>
    <s v="S24_2024_4"/>
    <x v="2"/>
    <s v="Transversal"/>
    <x v="23"/>
    <s v="Christophe"/>
    <x v="14"/>
    <x v="73"/>
    <x v="57"/>
    <d v="2023-03-27T00:00:00"/>
    <n v="680000"/>
    <n v="739268"/>
    <n v="739268"/>
    <n v="0"/>
    <n v="0"/>
    <n v="0"/>
    <n v="0"/>
    <n v="7392.68"/>
    <n v="51875"/>
    <n v="731875"/>
    <n v="2000"/>
    <m/>
    <n v="739268"/>
    <n v="110890"/>
    <x v="8"/>
    <x v="0"/>
    <x v="3"/>
    <x v="19"/>
  </r>
  <r>
    <x v="35"/>
    <s v="S36_2024_4"/>
    <x v="2"/>
    <s v="Transversal"/>
    <x v="35"/>
    <s v="Judicaël"/>
    <x v="3"/>
    <x v="73"/>
    <x v="57"/>
    <d v="2023-04-24T00:00:00"/>
    <n v="474000"/>
    <n v="483165"/>
    <n v="483165"/>
    <n v="0"/>
    <n v="0"/>
    <n v="0"/>
    <n v="0"/>
    <n v="4831.6499999999996"/>
    <n v="4333"/>
    <n v="478333"/>
    <n v="6000"/>
    <m/>
    <n v="483165"/>
    <n v="72475"/>
    <x v="14"/>
    <x v="14"/>
    <x v="1"/>
    <x v="19"/>
  </r>
  <r>
    <x v="4"/>
    <s v="S05_2024_4"/>
    <x v="0"/>
    <s v="Transversal"/>
    <x v="4"/>
    <s v="Florentin"/>
    <x v="3"/>
    <x v="73"/>
    <x v="57"/>
    <d v="2023-04-24T00:00:00"/>
    <n v="620000"/>
    <n v="663510"/>
    <n v="663510"/>
    <n v="0"/>
    <n v="0"/>
    <n v="0"/>
    <n v="0"/>
    <n v="6635.1"/>
    <n v="36875"/>
    <n v="656875"/>
    <n v="2000"/>
    <m/>
    <n v="663510"/>
    <n v="99527"/>
    <x v="1"/>
    <x v="0"/>
    <x v="1"/>
    <x v="19"/>
  </r>
  <r>
    <x v="56"/>
    <s v="S59_2024_4"/>
    <x v="2"/>
    <s v="Construction"/>
    <x v="56"/>
    <s v="Niaina"/>
    <x v="25"/>
    <x v="73"/>
    <x v="57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19"/>
  </r>
  <r>
    <x v="58"/>
    <s v="S61_2024_4"/>
    <x v="2"/>
    <s v="Maintenance"/>
    <x v="58"/>
    <s v="Danny"/>
    <x v="1"/>
    <x v="73"/>
    <x v="57"/>
    <d v="2024-04-26T00:00:00"/>
    <e v="#REF!"/>
    <n v="11388"/>
    <e v="#REF!"/>
    <n v="0"/>
    <n v="0"/>
    <n v="0"/>
    <n v="0"/>
    <e v="#REF!"/>
    <e v="#REF!"/>
    <e v="#REF!"/>
    <n v="0"/>
    <m/>
    <e v="#REF!"/>
    <e v="#REF!"/>
    <x v="30"/>
    <x v="0"/>
    <x v="1"/>
    <x v="19"/>
  </r>
  <r>
    <x v="59"/>
    <s v="S64_2024_4"/>
    <x v="0"/>
    <s v="Maintenance"/>
    <x v="59"/>
    <s v="Syressi"/>
    <x v="1"/>
    <x v="73"/>
    <x v="57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9"/>
  </r>
  <r>
    <x v="60"/>
    <s v="S65_2024_4"/>
    <x v="0"/>
    <s v="Maintenance"/>
    <x v="60"/>
    <s v="Stanislas"/>
    <x v="1"/>
    <x v="73"/>
    <x v="57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9"/>
  </r>
  <r>
    <x v="61"/>
    <s v="S67_2024_4"/>
    <x v="2"/>
    <s v="Maintenance"/>
    <x v="61"/>
    <s v="Sandro"/>
    <x v="1"/>
    <x v="73"/>
    <x v="57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19"/>
  </r>
  <r>
    <x v="11"/>
    <s v="S12_2024_4"/>
    <x v="0"/>
    <s v="Transversal"/>
    <x v="11"/>
    <s v="Benedictine"/>
    <x v="9"/>
    <x v="73"/>
    <x v="57"/>
    <d v="2023-03-27T00:00:00"/>
    <n v="105000"/>
    <n v="109091"/>
    <n v="109091"/>
    <n v="0"/>
    <n v="0"/>
    <n v="0"/>
    <n v="0"/>
    <n v="1090.9100000000001"/>
    <n v="3000"/>
    <n v="108000"/>
    <n v="6000"/>
    <m/>
    <n v="109091"/>
    <n v="16364"/>
    <x v="1"/>
    <x v="0"/>
    <x v="5"/>
    <x v="19"/>
  </r>
  <r>
    <x v="9"/>
    <s v="S10_2024_5"/>
    <x v="2"/>
    <s v="Maintenance"/>
    <x v="9"/>
    <s v="Alain"/>
    <x v="7"/>
    <x v="74"/>
    <x v="58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19"/>
  </r>
  <r>
    <x v="52"/>
    <s v="S53_2024_5"/>
    <x v="2"/>
    <s v="Maintenance"/>
    <x v="52"/>
    <s v="Ginot"/>
    <x v="1"/>
    <x v="74"/>
    <x v="58"/>
    <d v="2024-05-27T00:00:00"/>
    <e v="#REF!"/>
    <n v="17232"/>
    <e v="#REF!"/>
    <n v="0"/>
    <n v="0"/>
    <n v="0"/>
    <n v="0"/>
    <e v="#REF!"/>
    <e v="#REF!"/>
    <e v="#REF!"/>
    <n v="2000"/>
    <m/>
    <e v="#REF!"/>
    <e v="#REF!"/>
    <x v="24"/>
    <x v="0"/>
    <x v="1"/>
    <x v="19"/>
  </r>
  <r>
    <x v="19"/>
    <s v="S20_2024_5"/>
    <x v="3"/>
    <s v="Maintenance"/>
    <x v="19"/>
    <s v="Manitrasina"/>
    <x v="1"/>
    <x v="74"/>
    <x v="58"/>
    <d v="2024-05-27T00:00:00"/>
    <n v="13800"/>
    <n v="17000"/>
    <n v="17000"/>
    <n v="0"/>
    <n v="0"/>
    <n v="0"/>
    <n v="0"/>
    <n v="170"/>
    <n v="3000"/>
    <n v="16830"/>
    <n v="4000"/>
    <m/>
    <n v="17000"/>
    <n v="2550"/>
    <x v="5"/>
    <x v="0"/>
    <x v="1"/>
    <x v="19"/>
  </r>
  <r>
    <x v="41"/>
    <s v="S42_2024_5"/>
    <x v="3"/>
    <s v="Maintenance"/>
    <x v="41"/>
    <s v="Fifaliana"/>
    <x v="1"/>
    <x v="74"/>
    <x v="58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19"/>
  </r>
  <r>
    <x v="42"/>
    <s v="S43_2024_5"/>
    <x v="3"/>
    <s v="Maintenance"/>
    <x v="42"/>
    <s v="Hery"/>
    <x v="1"/>
    <x v="74"/>
    <x v="58"/>
    <d v="2024-05-27T00:00:00"/>
    <n v="10900"/>
    <n v="14000"/>
    <n v="14000"/>
    <n v="0"/>
    <n v="0"/>
    <n v="0"/>
    <n v="0"/>
    <n v="140"/>
    <n v="3000"/>
    <n v="13860"/>
    <n v="2000"/>
    <m/>
    <n v="14000"/>
    <n v="2100"/>
    <x v="19"/>
    <x v="0"/>
    <x v="1"/>
    <x v="19"/>
  </r>
  <r>
    <x v="31"/>
    <s v="S32_2024_5"/>
    <x v="0"/>
    <s v="Maintenance"/>
    <x v="31"/>
    <s v="Francot"/>
    <x v="1"/>
    <x v="74"/>
    <x v="58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0"/>
    <x v="12"/>
    <x v="1"/>
    <x v="19"/>
  </r>
  <r>
    <x v="32"/>
    <s v="S33_2024_5"/>
    <x v="0"/>
    <s v="Maintenance"/>
    <x v="32"/>
    <s v="Perolin"/>
    <x v="1"/>
    <x v="74"/>
    <x v="58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19"/>
  </r>
  <r>
    <x v="27"/>
    <s v="S28_2024_5"/>
    <x v="2"/>
    <s v="Construction"/>
    <x v="27"/>
    <s v="Rodin"/>
    <x v="1"/>
    <x v="74"/>
    <x v="58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19"/>
  </r>
  <r>
    <x v="45"/>
    <s v="S46_2024_5"/>
    <x v="2"/>
    <s v="Maintenance"/>
    <x v="45"/>
    <s v="Angeliot"/>
    <x v="1"/>
    <x v="74"/>
    <x v="58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19"/>
  </r>
  <r>
    <x v="15"/>
    <s v="S16_2024_5"/>
    <x v="0"/>
    <s v="Maintenance"/>
    <x v="15"/>
    <s v="Victorien"/>
    <x v="7"/>
    <x v="74"/>
    <x v="58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19"/>
  </r>
  <r>
    <x v="25"/>
    <s v="S26_2024_5"/>
    <x v="0"/>
    <s v="Construction"/>
    <x v="25"/>
    <s v="Anicet"/>
    <x v="5"/>
    <x v="74"/>
    <x v="58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19"/>
  </r>
  <r>
    <x v="39"/>
    <s v="S40_2024_5"/>
    <x v="3"/>
    <s v="Maintenance"/>
    <x v="39"/>
    <s v="Nalaina"/>
    <x v="20"/>
    <x v="74"/>
    <x v="58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19"/>
  </r>
  <r>
    <x v="49"/>
    <s v="S50_2024_5"/>
    <x v="1"/>
    <s v="Transversal"/>
    <x v="49"/>
    <s v="Sandrine"/>
    <x v="22"/>
    <x v="74"/>
    <x v="58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19"/>
  </r>
  <r>
    <x v="38"/>
    <s v="S39_2024_5"/>
    <x v="3"/>
    <s v="Maintenance"/>
    <x v="38"/>
    <s v="Lydie"/>
    <x v="19"/>
    <x v="74"/>
    <x v="58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19"/>
  </r>
  <r>
    <x v="53"/>
    <s v="S54_2024_5"/>
    <x v="0"/>
    <s v="Construction"/>
    <x v="53"/>
    <s v="Frida"/>
    <x v="24"/>
    <x v="74"/>
    <x v="58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19"/>
  </r>
  <r>
    <x v="55"/>
    <s v="S56_2024_5"/>
    <x v="2"/>
    <s v="Construction"/>
    <x v="55"/>
    <s v="Irène"/>
    <x v="24"/>
    <x v="74"/>
    <x v="58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19"/>
  </r>
  <r>
    <x v="37"/>
    <s v="S38_2024_5"/>
    <x v="2"/>
    <s v="Maintenance"/>
    <x v="37"/>
    <s v="Christian"/>
    <x v="7"/>
    <x v="74"/>
    <x v="58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19"/>
  </r>
  <r>
    <x v="18"/>
    <s v="S19_2024_5"/>
    <x v="0"/>
    <s v="Maintenance"/>
    <x v="18"/>
    <s v="Faly"/>
    <x v="7"/>
    <x v="74"/>
    <x v="58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19"/>
  </r>
  <r>
    <x v="7"/>
    <s v="S08_2024_5"/>
    <x v="0"/>
    <s v="Transversal"/>
    <x v="7"/>
    <s v="Onja"/>
    <x v="6"/>
    <x v="74"/>
    <x v="58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19"/>
  </r>
  <r>
    <x v="0"/>
    <s v="S01_2024_5"/>
    <x v="0"/>
    <s v="Maintenance"/>
    <x v="0"/>
    <s v="Gaetan"/>
    <x v="0"/>
    <x v="74"/>
    <x v="58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19"/>
  </r>
  <r>
    <x v="12"/>
    <s v="S13_2024_5"/>
    <x v="1"/>
    <s v="Transversal"/>
    <x v="12"/>
    <s v="Herizo"/>
    <x v="10"/>
    <x v="74"/>
    <x v="58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19"/>
  </r>
  <r>
    <x v="29"/>
    <s v="S30_2024_5"/>
    <x v="2"/>
    <s v="Transversal"/>
    <x v="29"/>
    <s v="Marie Jeanne"/>
    <x v="9"/>
    <x v="74"/>
    <x v="58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19"/>
  </r>
  <r>
    <x v="10"/>
    <s v="S11_2024_5"/>
    <x v="0"/>
    <s v="Transversal"/>
    <x v="10"/>
    <s v="Raoul"/>
    <x v="8"/>
    <x v="74"/>
    <x v="58"/>
    <d v="2024-05-27T00:00:00"/>
    <n v="512100"/>
    <n v="395309"/>
    <n v="527188"/>
    <n v="29608"/>
    <n v="22558"/>
    <n v="2"/>
    <n v="39"/>
    <n v="5271.88"/>
    <n v="9787"/>
    <n v="521916"/>
    <n v="6000"/>
    <m/>
    <n v="527188"/>
    <n v="79078"/>
    <x v="1"/>
    <x v="0"/>
    <x v="4"/>
    <x v="19"/>
  </r>
  <r>
    <x v="13"/>
    <s v="S14_2024_5"/>
    <x v="0"/>
    <s v="Transversal"/>
    <x v="13"/>
    <s v="Rene"/>
    <x v="8"/>
    <x v="74"/>
    <x v="58"/>
    <d v="2024-05-27T00:00:00"/>
    <n v="448100"/>
    <n v="395309"/>
    <n v="455609"/>
    <n v="29608"/>
    <n v="22558"/>
    <n v="1"/>
    <n v="0"/>
    <n v="4556.09"/>
    <n v="3000"/>
    <n v="451053"/>
    <n v="8000"/>
    <m/>
    <n v="455609"/>
    <n v="68341"/>
    <x v="1"/>
    <x v="0"/>
    <x v="4"/>
    <x v="19"/>
  </r>
  <r>
    <x v="16"/>
    <s v="S17_2024_5"/>
    <x v="0"/>
    <s v="Transversal"/>
    <x v="16"/>
    <s v="Velonasy"/>
    <x v="8"/>
    <x v="74"/>
    <x v="58"/>
    <d v="2024-05-27T00:00:00"/>
    <n v="539500"/>
    <n v="395309"/>
    <n v="559723"/>
    <n v="29608"/>
    <n v="22558"/>
    <n v="2"/>
    <n v="59"/>
    <n v="5597.23"/>
    <n v="14619"/>
    <n v="554126"/>
    <n v="6000"/>
    <m/>
    <n v="559723"/>
    <n v="83958"/>
    <x v="1"/>
    <x v="0"/>
    <x v="4"/>
    <x v="19"/>
  </r>
  <r>
    <x v="33"/>
    <s v="S34_2024_5"/>
    <x v="1"/>
    <s v="Transversal"/>
    <x v="33"/>
    <s v="Valérie"/>
    <x v="16"/>
    <x v="74"/>
    <x v="58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19"/>
  </r>
  <r>
    <x v="23"/>
    <s v="S24_2024_5"/>
    <x v="2"/>
    <s v="Transversal"/>
    <x v="23"/>
    <s v="Christophe"/>
    <x v="14"/>
    <x v="74"/>
    <x v="58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19"/>
  </r>
  <r>
    <x v="35"/>
    <s v="S36_2024_5"/>
    <x v="2"/>
    <s v="Transversal"/>
    <x v="35"/>
    <s v="Judicaël"/>
    <x v="3"/>
    <x v="74"/>
    <x v="58"/>
    <d v="2024-05-27T00:00:00"/>
    <n v="600000"/>
    <n v="633207"/>
    <n v="633207"/>
    <n v="0"/>
    <n v="0"/>
    <n v="0"/>
    <n v="0"/>
    <n v="6332.07"/>
    <n v="26875"/>
    <n v="626875"/>
    <n v="6000"/>
    <m/>
    <n v="633207"/>
    <n v="94981"/>
    <x v="14"/>
    <x v="14"/>
    <x v="1"/>
    <x v="19"/>
  </r>
  <r>
    <x v="4"/>
    <s v="S05_2024_5"/>
    <x v="0"/>
    <s v="Transversal"/>
    <x v="4"/>
    <s v="Florentin"/>
    <x v="3"/>
    <x v="74"/>
    <x v="58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19"/>
  </r>
  <r>
    <x v="56"/>
    <s v="S59_2024_5"/>
    <x v="2"/>
    <s v="Construction"/>
    <x v="56"/>
    <s v="Niaina"/>
    <x v="25"/>
    <x v="74"/>
    <x v="58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19"/>
  </r>
  <r>
    <x v="58"/>
    <s v="S61_2024_5"/>
    <x v="2"/>
    <s v="Maintenance"/>
    <x v="58"/>
    <s v="Danny"/>
    <x v="1"/>
    <x v="74"/>
    <x v="58"/>
    <d v="2024-05-27T00:00:00"/>
    <e v="#REF!"/>
    <n v="12817"/>
    <e v="#REF!"/>
    <n v="0"/>
    <n v="0"/>
    <n v="0"/>
    <n v="0"/>
    <e v="#REF!"/>
    <e v="#REF!"/>
    <e v="#REF!"/>
    <n v="2000"/>
    <m/>
    <e v="#REF!"/>
    <e v="#REF!"/>
    <x v="30"/>
    <x v="0"/>
    <x v="1"/>
    <x v="19"/>
  </r>
  <r>
    <x v="59"/>
    <s v="S64_2024_5"/>
    <x v="0"/>
    <s v="Maintenance"/>
    <x v="59"/>
    <s v="Syressi"/>
    <x v="1"/>
    <x v="74"/>
    <x v="58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9"/>
  </r>
  <r>
    <x v="60"/>
    <s v="S65_2024_5"/>
    <x v="0"/>
    <s v="Maintenance"/>
    <x v="60"/>
    <s v="Stanislas"/>
    <x v="1"/>
    <x v="74"/>
    <x v="58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9"/>
  </r>
  <r>
    <x v="61"/>
    <s v="S67_2024_5"/>
    <x v="2"/>
    <s v="Maintenance"/>
    <x v="61"/>
    <s v="Sandro"/>
    <x v="1"/>
    <x v="74"/>
    <x v="58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19"/>
  </r>
  <r>
    <x v="11"/>
    <s v="S12_2024_5"/>
    <x v="0"/>
    <s v="Transversal"/>
    <x v="11"/>
    <s v="Benedictine"/>
    <x v="9"/>
    <x v="74"/>
    <x v="58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19"/>
  </r>
  <r>
    <x v="9"/>
    <s v="S10_2024_6"/>
    <x v="2"/>
    <s v="Maintenance"/>
    <x v="9"/>
    <s v="Alain"/>
    <x v="7"/>
    <x v="75"/>
    <x v="59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19"/>
  </r>
  <r>
    <x v="52"/>
    <s v="S53_2024_6"/>
    <x v="2"/>
    <s v="Maintenance"/>
    <x v="52"/>
    <s v="Ginot"/>
    <x v="1"/>
    <x v="75"/>
    <x v="59"/>
    <d v="2024-06-24T00:00:00"/>
    <e v="#REF!"/>
    <n v="17232"/>
    <e v="#REF!"/>
    <n v="0"/>
    <n v="0"/>
    <n v="0"/>
    <n v="0"/>
    <e v="#REF!"/>
    <e v="#REF!"/>
    <e v="#REF!"/>
    <n v="2000"/>
    <m/>
    <e v="#REF!"/>
    <e v="#REF!"/>
    <x v="24"/>
    <x v="0"/>
    <x v="1"/>
    <x v="19"/>
  </r>
  <r>
    <x v="19"/>
    <s v="S20_2024_6"/>
    <x v="3"/>
    <s v="Maintenance"/>
    <x v="19"/>
    <s v="Manitrasina"/>
    <x v="1"/>
    <x v="75"/>
    <x v="59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19"/>
  </r>
  <r>
    <x v="41"/>
    <s v="S42_2024_6"/>
    <x v="3"/>
    <s v="Maintenance"/>
    <x v="41"/>
    <s v="Fifaliana"/>
    <x v="1"/>
    <x v="75"/>
    <x v="59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19"/>
  </r>
  <r>
    <x v="42"/>
    <s v="S43_2024_6"/>
    <x v="3"/>
    <s v="Maintenance"/>
    <x v="42"/>
    <s v="Hery"/>
    <x v="1"/>
    <x v="75"/>
    <x v="59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19"/>
  </r>
  <r>
    <x v="31"/>
    <s v="S32_2024_6"/>
    <x v="0"/>
    <s v="Maintenance"/>
    <x v="31"/>
    <s v="Francot"/>
    <x v="1"/>
    <x v="75"/>
    <x v="59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0"/>
    <x v="12"/>
    <x v="1"/>
    <x v="19"/>
  </r>
  <r>
    <x v="32"/>
    <s v="S33_2024_6"/>
    <x v="0"/>
    <s v="Maintenance"/>
    <x v="32"/>
    <s v="Perolin"/>
    <x v="1"/>
    <x v="75"/>
    <x v="59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19"/>
  </r>
  <r>
    <x v="27"/>
    <s v="S28_2024_6"/>
    <x v="2"/>
    <s v="Construction"/>
    <x v="27"/>
    <s v="Rodin"/>
    <x v="1"/>
    <x v="75"/>
    <x v="59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19"/>
  </r>
  <r>
    <x v="45"/>
    <s v="S46_2024_6"/>
    <x v="2"/>
    <s v="Maintenance"/>
    <x v="45"/>
    <s v="Angeliot"/>
    <x v="1"/>
    <x v="75"/>
    <x v="59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19"/>
  </r>
  <r>
    <x v="15"/>
    <s v="S16_2024_6"/>
    <x v="0"/>
    <s v="Maintenance"/>
    <x v="15"/>
    <s v="Victorien"/>
    <x v="7"/>
    <x v="75"/>
    <x v="59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19"/>
  </r>
  <r>
    <x v="25"/>
    <s v="S26_2024_6"/>
    <x v="0"/>
    <s v="Construction"/>
    <x v="25"/>
    <s v="Anicet"/>
    <x v="5"/>
    <x v="75"/>
    <x v="59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19"/>
  </r>
  <r>
    <x v="39"/>
    <s v="S40_2024_6"/>
    <x v="3"/>
    <s v="Maintenance"/>
    <x v="39"/>
    <s v="Nalaina"/>
    <x v="20"/>
    <x v="75"/>
    <x v="59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19"/>
  </r>
  <r>
    <x v="49"/>
    <s v="S50_2024_6"/>
    <x v="1"/>
    <s v="Transversal"/>
    <x v="49"/>
    <s v="Sandrine"/>
    <x v="22"/>
    <x v="75"/>
    <x v="59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19"/>
  </r>
  <r>
    <x v="38"/>
    <s v="S39_2024_6"/>
    <x v="3"/>
    <s v="Maintenance"/>
    <x v="38"/>
    <s v="Lydie"/>
    <x v="19"/>
    <x v="75"/>
    <x v="59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19"/>
  </r>
  <r>
    <x v="53"/>
    <s v="S54_2024_6"/>
    <x v="0"/>
    <s v="Construction"/>
    <x v="53"/>
    <s v="Frida"/>
    <x v="24"/>
    <x v="75"/>
    <x v="59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19"/>
  </r>
  <r>
    <x v="55"/>
    <s v="S56_2024_6"/>
    <x v="2"/>
    <s v="Construction"/>
    <x v="55"/>
    <s v="Irène"/>
    <x v="24"/>
    <x v="75"/>
    <x v="59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19"/>
  </r>
  <r>
    <x v="37"/>
    <s v="S38_2024_6"/>
    <x v="2"/>
    <s v="Maintenance"/>
    <x v="37"/>
    <s v="Christian"/>
    <x v="7"/>
    <x v="75"/>
    <x v="59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19"/>
  </r>
  <r>
    <x v="18"/>
    <s v="S19_2024_6"/>
    <x v="0"/>
    <s v="Maintenance"/>
    <x v="18"/>
    <s v="Faly"/>
    <x v="7"/>
    <x v="75"/>
    <x v="59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19"/>
  </r>
  <r>
    <x v="7"/>
    <s v="S08_2024_6"/>
    <x v="0"/>
    <s v="Transversal"/>
    <x v="7"/>
    <s v="Onja"/>
    <x v="6"/>
    <x v="75"/>
    <x v="59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19"/>
  </r>
  <r>
    <x v="0"/>
    <s v="S01_2024_6"/>
    <x v="0"/>
    <s v="Maintenance"/>
    <x v="0"/>
    <s v="Gaetan"/>
    <x v="0"/>
    <x v="75"/>
    <x v="59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19"/>
  </r>
  <r>
    <x v="12"/>
    <s v="S13_2024_6"/>
    <x v="1"/>
    <s v="Transversal"/>
    <x v="12"/>
    <s v="Herizo"/>
    <x v="10"/>
    <x v="75"/>
    <x v="59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19"/>
  </r>
  <r>
    <x v="29"/>
    <s v="S30_2024_6"/>
    <x v="2"/>
    <s v="Transversal"/>
    <x v="29"/>
    <s v="Marie Jeanne"/>
    <x v="9"/>
    <x v="75"/>
    <x v="59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19"/>
  </r>
  <r>
    <x v="10"/>
    <s v="S11_2024_6"/>
    <x v="0"/>
    <s v="Transversal"/>
    <x v="10"/>
    <s v="Raoul"/>
    <x v="8"/>
    <x v="75"/>
    <x v="59"/>
    <d v="2024-06-24T00:00:00"/>
    <n v="512100"/>
    <n v="395309"/>
    <n v="527188"/>
    <n v="29608"/>
    <n v="22558"/>
    <n v="0"/>
    <n v="49"/>
    <n v="5271.88"/>
    <n v="9787"/>
    <n v="521916"/>
    <n v="6000"/>
    <m/>
    <n v="527188"/>
    <n v="79078"/>
    <x v="1"/>
    <x v="0"/>
    <x v="4"/>
    <x v="19"/>
  </r>
  <r>
    <x v="13"/>
    <s v="S14_2024_6"/>
    <x v="0"/>
    <s v="Transversal"/>
    <x v="13"/>
    <s v="Rene"/>
    <x v="8"/>
    <x v="75"/>
    <x v="59"/>
    <d v="2024-06-24T00:00:00"/>
    <n v="529200"/>
    <n v="395309"/>
    <n v="545082"/>
    <n v="29608"/>
    <n v="22558"/>
    <n v="1"/>
    <n v="55"/>
    <n v="5450.82"/>
    <n v="10445"/>
    <n v="539631"/>
    <n v="8000"/>
    <m/>
    <n v="545082"/>
    <n v="81762"/>
    <x v="1"/>
    <x v="0"/>
    <x v="4"/>
    <x v="19"/>
  </r>
  <r>
    <x v="16"/>
    <s v="S17_2024_6"/>
    <x v="0"/>
    <s v="Transversal"/>
    <x v="16"/>
    <s v="Velonasy"/>
    <x v="8"/>
    <x v="75"/>
    <x v="59"/>
    <d v="2024-06-24T00:00:00"/>
    <n v="440000"/>
    <n v="395309"/>
    <n v="447475"/>
    <n v="29608"/>
    <n v="22558"/>
    <n v="0"/>
    <n v="0"/>
    <n v="4474.75"/>
    <n v="3000"/>
    <n v="443000"/>
    <n v="6000"/>
    <m/>
    <n v="447475"/>
    <n v="67121"/>
    <x v="1"/>
    <x v="0"/>
    <x v="4"/>
    <x v="19"/>
  </r>
  <r>
    <x v="33"/>
    <s v="S34_2024_6"/>
    <x v="1"/>
    <s v="Transversal"/>
    <x v="33"/>
    <s v="Valérie"/>
    <x v="16"/>
    <x v="75"/>
    <x v="59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19"/>
  </r>
  <r>
    <x v="23"/>
    <s v="S24_2024_6"/>
    <x v="2"/>
    <s v="Transversal"/>
    <x v="23"/>
    <s v="Christophe"/>
    <x v="14"/>
    <x v="75"/>
    <x v="59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19"/>
  </r>
  <r>
    <x v="35"/>
    <s v="S36_2024_6"/>
    <x v="2"/>
    <s v="Transversal"/>
    <x v="35"/>
    <s v="Judicaël"/>
    <x v="3"/>
    <x v="75"/>
    <x v="59"/>
    <d v="2024-05-27T00:00:00"/>
    <n v="600000"/>
    <n v="633207"/>
    <n v="633207"/>
    <n v="0"/>
    <n v="0"/>
    <n v="0"/>
    <n v="0"/>
    <n v="6332.07"/>
    <n v="26875"/>
    <n v="626875"/>
    <n v="6000"/>
    <m/>
    <n v="633207"/>
    <n v="94981"/>
    <x v="14"/>
    <x v="14"/>
    <x v="1"/>
    <x v="19"/>
  </r>
  <r>
    <x v="4"/>
    <s v="S05_2024_6"/>
    <x v="0"/>
    <s v="Transversal"/>
    <x v="4"/>
    <s v="Florentin"/>
    <x v="3"/>
    <x v="75"/>
    <x v="59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19"/>
  </r>
  <r>
    <x v="56"/>
    <s v="S59_2024_6"/>
    <x v="2"/>
    <s v="Construction"/>
    <x v="56"/>
    <s v="Niaina"/>
    <x v="25"/>
    <x v="75"/>
    <x v="59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19"/>
  </r>
  <r>
    <x v="58"/>
    <s v="S61_2024_6"/>
    <x v="2"/>
    <s v="Maintenance"/>
    <x v="58"/>
    <s v="Danny"/>
    <x v="1"/>
    <x v="75"/>
    <x v="59"/>
    <d v="2024-06-24T00:00:00"/>
    <e v="#REF!"/>
    <n v="12817"/>
    <e v="#REF!"/>
    <n v="0"/>
    <n v="0"/>
    <n v="0"/>
    <n v="0"/>
    <e v="#REF!"/>
    <e v="#REF!"/>
    <e v="#REF!"/>
    <n v="2000"/>
    <m/>
    <e v="#REF!"/>
    <e v="#REF!"/>
    <x v="30"/>
    <x v="0"/>
    <x v="1"/>
    <x v="19"/>
  </r>
  <r>
    <x v="59"/>
    <s v="S64_2024_6"/>
    <x v="0"/>
    <s v="Maintenance"/>
    <x v="59"/>
    <s v="Syressi"/>
    <x v="1"/>
    <x v="75"/>
    <x v="59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9"/>
  </r>
  <r>
    <x v="60"/>
    <s v="S65_2024_6"/>
    <x v="0"/>
    <s v="Maintenance"/>
    <x v="60"/>
    <s v="Stanislas"/>
    <x v="1"/>
    <x v="75"/>
    <x v="59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19"/>
  </r>
  <r>
    <x v="61"/>
    <s v="S67_2024_6"/>
    <x v="2"/>
    <s v="Maintenance"/>
    <x v="61"/>
    <s v="Sandro"/>
    <x v="1"/>
    <x v="75"/>
    <x v="59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19"/>
  </r>
  <r>
    <x v="11"/>
    <s v="S12_2024_6"/>
    <x v="0"/>
    <s v="Transversal"/>
    <x v="11"/>
    <s v="Benedictine"/>
    <x v="9"/>
    <x v="75"/>
    <x v="59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19"/>
  </r>
  <r>
    <x v="9"/>
    <s v="S10_2024_7"/>
    <x v="2"/>
    <s v="Maintenance"/>
    <x v="9"/>
    <s v="Alain"/>
    <x v="7"/>
    <x v="76"/>
    <x v="60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20"/>
  </r>
  <r>
    <x v="52"/>
    <s v="S53_2024_7"/>
    <x v="2"/>
    <s v="Maintenance"/>
    <x v="52"/>
    <s v="Ginot"/>
    <x v="1"/>
    <x v="76"/>
    <x v="60"/>
    <d v="2024-07-24T00:00:00"/>
    <e v="#REF!"/>
    <n v="17232"/>
    <e v="#REF!"/>
    <n v="0"/>
    <n v="0"/>
    <n v="0"/>
    <n v="0"/>
    <e v="#REF!"/>
    <e v="#REF!"/>
    <e v="#REF!"/>
    <n v="2000"/>
    <m/>
    <e v="#REF!"/>
    <e v="#REF!"/>
    <x v="24"/>
    <x v="0"/>
    <x v="1"/>
    <x v="20"/>
  </r>
  <r>
    <x v="19"/>
    <s v="S20_2024_7"/>
    <x v="3"/>
    <s v="Maintenance"/>
    <x v="19"/>
    <s v="Manitrasina"/>
    <x v="1"/>
    <x v="76"/>
    <x v="60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20"/>
  </r>
  <r>
    <x v="41"/>
    <s v="S42_2024_7"/>
    <x v="3"/>
    <s v="Maintenance"/>
    <x v="41"/>
    <s v="Fifaliana"/>
    <x v="1"/>
    <x v="76"/>
    <x v="60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0"/>
  </r>
  <r>
    <x v="42"/>
    <s v="S43_2024_7"/>
    <x v="3"/>
    <s v="Maintenance"/>
    <x v="42"/>
    <s v="Hery"/>
    <x v="1"/>
    <x v="76"/>
    <x v="60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0"/>
  </r>
  <r>
    <x v="31"/>
    <s v="S32_2024_7"/>
    <x v="0"/>
    <s v="Maintenance"/>
    <x v="31"/>
    <s v="Francot"/>
    <x v="1"/>
    <x v="76"/>
    <x v="60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0"/>
    <x v="12"/>
    <x v="1"/>
    <x v="20"/>
  </r>
  <r>
    <x v="32"/>
    <s v="S33_2024_7"/>
    <x v="0"/>
    <s v="Maintenance"/>
    <x v="32"/>
    <s v="Perolin"/>
    <x v="1"/>
    <x v="76"/>
    <x v="60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20"/>
  </r>
  <r>
    <x v="27"/>
    <s v="S28_2024_7"/>
    <x v="2"/>
    <s v="Construction"/>
    <x v="27"/>
    <s v="Rodin"/>
    <x v="1"/>
    <x v="76"/>
    <x v="60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20"/>
  </r>
  <r>
    <x v="45"/>
    <s v="S46_2024_7"/>
    <x v="2"/>
    <s v="Maintenance"/>
    <x v="45"/>
    <s v="Angeliot"/>
    <x v="1"/>
    <x v="76"/>
    <x v="60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20"/>
  </r>
  <r>
    <x v="15"/>
    <s v="S16_2024_7"/>
    <x v="0"/>
    <s v="Maintenance"/>
    <x v="15"/>
    <s v="Victorien"/>
    <x v="7"/>
    <x v="76"/>
    <x v="60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20"/>
  </r>
  <r>
    <x v="25"/>
    <s v="S26_2024_7"/>
    <x v="0"/>
    <s v="Construction"/>
    <x v="25"/>
    <s v="Anicet"/>
    <x v="5"/>
    <x v="76"/>
    <x v="60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20"/>
  </r>
  <r>
    <x v="39"/>
    <s v="S40_2024_7"/>
    <x v="3"/>
    <s v="Maintenance"/>
    <x v="39"/>
    <s v="Nalaina"/>
    <x v="20"/>
    <x v="76"/>
    <x v="60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20"/>
  </r>
  <r>
    <x v="49"/>
    <s v="S50_2024_7"/>
    <x v="1"/>
    <s v="Transversal"/>
    <x v="49"/>
    <s v="Sandrine"/>
    <x v="22"/>
    <x v="76"/>
    <x v="60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20"/>
  </r>
  <r>
    <x v="38"/>
    <s v="S39_2024_7"/>
    <x v="3"/>
    <s v="Maintenance"/>
    <x v="38"/>
    <s v="Lydie"/>
    <x v="19"/>
    <x v="76"/>
    <x v="60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20"/>
  </r>
  <r>
    <x v="53"/>
    <s v="S54_2024_7"/>
    <x v="0"/>
    <s v="Construction"/>
    <x v="53"/>
    <s v="Frida"/>
    <x v="24"/>
    <x v="76"/>
    <x v="60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20"/>
  </r>
  <r>
    <x v="55"/>
    <s v="S56_2024_7"/>
    <x v="2"/>
    <s v="Construction"/>
    <x v="55"/>
    <s v="Irène"/>
    <x v="24"/>
    <x v="76"/>
    <x v="60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20"/>
  </r>
  <r>
    <x v="37"/>
    <s v="S38_2024_7"/>
    <x v="2"/>
    <s v="Maintenance"/>
    <x v="37"/>
    <s v="Christian"/>
    <x v="7"/>
    <x v="76"/>
    <x v="60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20"/>
  </r>
  <r>
    <x v="18"/>
    <s v="S19_2024_7"/>
    <x v="0"/>
    <s v="Maintenance"/>
    <x v="18"/>
    <s v="Faly"/>
    <x v="7"/>
    <x v="76"/>
    <x v="60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20"/>
  </r>
  <r>
    <x v="7"/>
    <s v="S08_2024_7"/>
    <x v="0"/>
    <s v="Transversal"/>
    <x v="7"/>
    <s v="Onja"/>
    <x v="6"/>
    <x v="76"/>
    <x v="60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20"/>
  </r>
  <r>
    <x v="0"/>
    <s v="S01_2024_7"/>
    <x v="0"/>
    <s v="Maintenance"/>
    <x v="0"/>
    <s v="Gaetan"/>
    <x v="0"/>
    <x v="76"/>
    <x v="60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20"/>
  </r>
  <r>
    <x v="12"/>
    <s v="S13_2024_7"/>
    <x v="1"/>
    <s v="Transversal"/>
    <x v="12"/>
    <s v="Herizo"/>
    <x v="10"/>
    <x v="76"/>
    <x v="60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20"/>
  </r>
  <r>
    <x v="29"/>
    <s v="S30_2024_7"/>
    <x v="2"/>
    <s v="Transversal"/>
    <x v="29"/>
    <s v="Marie Jeanne"/>
    <x v="9"/>
    <x v="76"/>
    <x v="60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20"/>
  </r>
  <r>
    <x v="10"/>
    <s v="S11_2024_7"/>
    <x v="0"/>
    <s v="Transversal"/>
    <x v="10"/>
    <s v="Raoul"/>
    <x v="8"/>
    <x v="76"/>
    <x v="60"/>
    <d v="2024-07-24T00:00:00"/>
    <n v="440000"/>
    <n v="395309"/>
    <n v="447475"/>
    <n v="29608"/>
    <n v="22558"/>
    <n v="0"/>
    <n v="0"/>
    <n v="4474.75"/>
    <n v="3000"/>
    <n v="443000"/>
    <n v="6000"/>
    <m/>
    <n v="447475"/>
    <n v="67121"/>
    <x v="1"/>
    <x v="0"/>
    <x v="4"/>
    <x v="20"/>
  </r>
  <r>
    <x v="13"/>
    <s v="S14_2024_7"/>
    <x v="0"/>
    <s v="Transversal"/>
    <x v="13"/>
    <s v="Rene"/>
    <x v="8"/>
    <x v="76"/>
    <x v="60"/>
    <d v="2024-07-24T00:00:00"/>
    <n v="527800"/>
    <n v="395309"/>
    <n v="543455"/>
    <n v="29608"/>
    <n v="22558"/>
    <n v="0"/>
    <n v="59"/>
    <n v="5434.55"/>
    <n v="10203"/>
    <n v="538020"/>
    <n v="8000"/>
    <m/>
    <n v="543455"/>
    <n v="81518"/>
    <x v="1"/>
    <x v="0"/>
    <x v="4"/>
    <x v="20"/>
  </r>
  <r>
    <x v="16"/>
    <s v="S17_2024_7"/>
    <x v="0"/>
    <s v="Transversal"/>
    <x v="16"/>
    <s v="Velonasy"/>
    <x v="8"/>
    <x v="76"/>
    <x v="60"/>
    <d v="2024-07-24T00:00:00"/>
    <n v="520300"/>
    <n v="395309"/>
    <n v="536948"/>
    <n v="29608"/>
    <n v="22558"/>
    <n v="0"/>
    <n v="55"/>
    <n v="5369.48"/>
    <n v="11237"/>
    <n v="531579"/>
    <n v="6000"/>
    <m/>
    <n v="536948"/>
    <n v="80542"/>
    <x v="1"/>
    <x v="0"/>
    <x v="4"/>
    <x v="20"/>
  </r>
  <r>
    <x v="33"/>
    <s v="S34_2024_7"/>
    <x v="1"/>
    <s v="Transversal"/>
    <x v="33"/>
    <s v="Valérie"/>
    <x v="16"/>
    <x v="76"/>
    <x v="60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20"/>
  </r>
  <r>
    <x v="23"/>
    <s v="S24_2024_7"/>
    <x v="2"/>
    <s v="Transversal"/>
    <x v="23"/>
    <s v="Christophe"/>
    <x v="14"/>
    <x v="76"/>
    <x v="60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20"/>
  </r>
  <r>
    <x v="35"/>
    <s v="S36_2024_7"/>
    <x v="2"/>
    <s v="Transversal"/>
    <x v="35"/>
    <s v="Judicaël"/>
    <x v="3"/>
    <x v="76"/>
    <x v="60"/>
    <d v="2024-05-27T00:00:00"/>
    <n v="600000"/>
    <n v="633207"/>
    <n v="633207"/>
    <n v="0"/>
    <n v="0"/>
    <n v="0"/>
    <n v="0"/>
    <n v="6332.07"/>
    <n v="26875"/>
    <n v="626875"/>
    <n v="6000"/>
    <m/>
    <n v="633207"/>
    <n v="94981"/>
    <x v="14"/>
    <x v="14"/>
    <x v="1"/>
    <x v="20"/>
  </r>
  <r>
    <x v="4"/>
    <s v="S05_2024_7"/>
    <x v="0"/>
    <s v="Transversal"/>
    <x v="4"/>
    <s v="Florentin"/>
    <x v="3"/>
    <x v="76"/>
    <x v="60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20"/>
  </r>
  <r>
    <x v="56"/>
    <s v="S59_2024_7"/>
    <x v="2"/>
    <s v="Construction"/>
    <x v="56"/>
    <s v="Niaina"/>
    <x v="25"/>
    <x v="76"/>
    <x v="60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20"/>
  </r>
  <r>
    <x v="58"/>
    <s v="S61_2024_7"/>
    <x v="2"/>
    <s v="Maintenance"/>
    <x v="58"/>
    <s v="Danny"/>
    <x v="1"/>
    <x v="76"/>
    <x v="60"/>
    <d v="2024-07-24T00:00:00"/>
    <e v="#REF!"/>
    <n v="12817"/>
    <e v="#REF!"/>
    <n v="0"/>
    <n v="0"/>
    <n v="0"/>
    <n v="0"/>
    <e v="#REF!"/>
    <e v="#REF!"/>
    <e v="#REF!"/>
    <n v="2000"/>
    <m/>
    <e v="#REF!"/>
    <e v="#REF!"/>
    <x v="30"/>
    <x v="0"/>
    <x v="1"/>
    <x v="20"/>
  </r>
  <r>
    <x v="59"/>
    <s v="S64_2024_7"/>
    <x v="0"/>
    <s v="Maintenance"/>
    <x v="59"/>
    <s v="Syressi"/>
    <x v="1"/>
    <x v="76"/>
    <x v="60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0"/>
  </r>
  <r>
    <x v="60"/>
    <s v="S65_2024_7"/>
    <x v="0"/>
    <s v="Maintenance"/>
    <x v="60"/>
    <s v="Stanislas"/>
    <x v="1"/>
    <x v="76"/>
    <x v="60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0"/>
  </r>
  <r>
    <x v="61"/>
    <s v="S67_2024_7"/>
    <x v="2"/>
    <s v="Maintenance"/>
    <x v="61"/>
    <s v="Sandro"/>
    <x v="1"/>
    <x v="76"/>
    <x v="60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20"/>
  </r>
  <r>
    <x v="11"/>
    <s v="S12_2024_7"/>
    <x v="0"/>
    <s v="Transversal"/>
    <x v="11"/>
    <s v="Benedictine"/>
    <x v="9"/>
    <x v="76"/>
    <x v="60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20"/>
  </r>
  <r>
    <x v="9"/>
    <s v="S10_2024_8"/>
    <x v="2"/>
    <s v="Maintenance"/>
    <x v="9"/>
    <s v="Alain"/>
    <x v="7"/>
    <x v="77"/>
    <x v="61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20"/>
  </r>
  <r>
    <x v="52"/>
    <s v="S53_2024_8"/>
    <x v="2"/>
    <s v="Maintenance"/>
    <x v="52"/>
    <s v="Ginot"/>
    <x v="1"/>
    <x v="77"/>
    <x v="61"/>
    <d v="2024-08-26T00:00:00"/>
    <e v="#REF!"/>
    <n v="17232"/>
    <e v="#REF!"/>
    <n v="0"/>
    <n v="0"/>
    <n v="0"/>
    <n v="0"/>
    <e v="#REF!"/>
    <e v="#REF!"/>
    <e v="#REF!"/>
    <n v="2000"/>
    <m/>
    <e v="#REF!"/>
    <e v="#REF!"/>
    <x v="24"/>
    <x v="0"/>
    <x v="1"/>
    <x v="20"/>
  </r>
  <r>
    <x v="19"/>
    <s v="S20_2024_8"/>
    <x v="3"/>
    <s v="Maintenance"/>
    <x v="19"/>
    <s v="Manitrasina"/>
    <x v="1"/>
    <x v="77"/>
    <x v="61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20"/>
  </r>
  <r>
    <x v="41"/>
    <s v="S42_2024_8"/>
    <x v="3"/>
    <s v="Maintenance"/>
    <x v="41"/>
    <s v="Fifaliana"/>
    <x v="1"/>
    <x v="77"/>
    <x v="61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0"/>
  </r>
  <r>
    <x v="42"/>
    <s v="S43_2024_8"/>
    <x v="3"/>
    <s v="Maintenance"/>
    <x v="42"/>
    <s v="Hery"/>
    <x v="1"/>
    <x v="77"/>
    <x v="61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0"/>
  </r>
  <r>
    <x v="31"/>
    <s v="S32_2024_8"/>
    <x v="0"/>
    <s v="Maintenance"/>
    <x v="31"/>
    <s v="Francot"/>
    <x v="1"/>
    <x v="77"/>
    <x v="61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0"/>
    <x v="12"/>
    <x v="1"/>
    <x v="20"/>
  </r>
  <r>
    <x v="32"/>
    <s v="S33_2024_8"/>
    <x v="0"/>
    <s v="Maintenance"/>
    <x v="32"/>
    <s v="Perolin"/>
    <x v="1"/>
    <x v="77"/>
    <x v="61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20"/>
  </r>
  <r>
    <x v="27"/>
    <s v="S28_2024_8"/>
    <x v="2"/>
    <s v="Construction"/>
    <x v="27"/>
    <s v="Rodin"/>
    <x v="1"/>
    <x v="77"/>
    <x v="61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20"/>
  </r>
  <r>
    <x v="45"/>
    <s v="S46_2024_8"/>
    <x v="2"/>
    <s v="Maintenance"/>
    <x v="45"/>
    <s v="Angeliot"/>
    <x v="1"/>
    <x v="77"/>
    <x v="61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20"/>
  </r>
  <r>
    <x v="15"/>
    <s v="S16_2024_8"/>
    <x v="0"/>
    <s v="Maintenance"/>
    <x v="15"/>
    <s v="Victorien"/>
    <x v="7"/>
    <x v="77"/>
    <x v="61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20"/>
  </r>
  <r>
    <x v="25"/>
    <s v="S26_2024_8"/>
    <x v="0"/>
    <s v="Construction"/>
    <x v="25"/>
    <s v="Anicet"/>
    <x v="5"/>
    <x v="77"/>
    <x v="61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20"/>
  </r>
  <r>
    <x v="39"/>
    <s v="S40_2024_8"/>
    <x v="3"/>
    <s v="Maintenance"/>
    <x v="39"/>
    <s v="Nalaina"/>
    <x v="20"/>
    <x v="77"/>
    <x v="61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20"/>
  </r>
  <r>
    <x v="49"/>
    <s v="S50_2024_8"/>
    <x v="1"/>
    <s v="Transversal"/>
    <x v="49"/>
    <s v="Sandrine"/>
    <x v="22"/>
    <x v="77"/>
    <x v="61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20"/>
  </r>
  <r>
    <x v="38"/>
    <s v="S39_2024_8"/>
    <x v="3"/>
    <s v="Maintenance"/>
    <x v="38"/>
    <s v="Lydie"/>
    <x v="19"/>
    <x v="77"/>
    <x v="61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20"/>
  </r>
  <r>
    <x v="53"/>
    <s v="S54_2024_8"/>
    <x v="0"/>
    <s v="Construction"/>
    <x v="53"/>
    <s v="Frida"/>
    <x v="24"/>
    <x v="77"/>
    <x v="61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20"/>
  </r>
  <r>
    <x v="55"/>
    <s v="S56_2024_8"/>
    <x v="2"/>
    <s v="Construction"/>
    <x v="55"/>
    <s v="Irène"/>
    <x v="24"/>
    <x v="77"/>
    <x v="61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20"/>
  </r>
  <r>
    <x v="37"/>
    <s v="S38_2024_8"/>
    <x v="2"/>
    <s v="Maintenance"/>
    <x v="37"/>
    <s v="Christian"/>
    <x v="7"/>
    <x v="77"/>
    <x v="61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20"/>
  </r>
  <r>
    <x v="18"/>
    <s v="S19_2024_8"/>
    <x v="0"/>
    <s v="Maintenance"/>
    <x v="18"/>
    <s v="Faly"/>
    <x v="7"/>
    <x v="77"/>
    <x v="61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20"/>
  </r>
  <r>
    <x v="7"/>
    <s v="S08_2024_8"/>
    <x v="0"/>
    <s v="Transversal"/>
    <x v="7"/>
    <s v="Onja"/>
    <x v="6"/>
    <x v="77"/>
    <x v="61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20"/>
  </r>
  <r>
    <x v="0"/>
    <s v="S01_2024_8"/>
    <x v="0"/>
    <s v="Maintenance"/>
    <x v="0"/>
    <s v="Gaetan"/>
    <x v="0"/>
    <x v="77"/>
    <x v="61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20"/>
  </r>
  <r>
    <x v="12"/>
    <s v="S13_2024_8"/>
    <x v="1"/>
    <s v="Transversal"/>
    <x v="12"/>
    <s v="Herizo"/>
    <x v="10"/>
    <x v="77"/>
    <x v="61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20"/>
  </r>
  <r>
    <x v="29"/>
    <s v="S30_2024_8"/>
    <x v="2"/>
    <s v="Transversal"/>
    <x v="29"/>
    <s v="Marie Jeanne"/>
    <x v="9"/>
    <x v="77"/>
    <x v="61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20"/>
  </r>
  <r>
    <x v="10"/>
    <s v="S11_2024_8"/>
    <x v="0"/>
    <s v="Transversal"/>
    <x v="10"/>
    <s v="Raoul"/>
    <x v="8"/>
    <x v="77"/>
    <x v="61"/>
    <d v="2024-08-26T00:00:00"/>
    <n v="472600"/>
    <n v="395309"/>
    <n v="481638"/>
    <n v="29608"/>
    <n v="22558"/>
    <n v="0"/>
    <n v="21"/>
    <n v="4816.38"/>
    <n v="4182"/>
    <n v="476822"/>
    <n v="6000"/>
    <m/>
    <n v="481638"/>
    <n v="72246"/>
    <x v="1"/>
    <x v="0"/>
    <x v="4"/>
    <x v="20"/>
  </r>
  <r>
    <x v="13"/>
    <s v="S14_2024_8"/>
    <x v="0"/>
    <s v="Transversal"/>
    <x v="13"/>
    <s v="Rene"/>
    <x v="8"/>
    <x v="77"/>
    <x v="61"/>
    <d v="2024-08-26T00:00:00"/>
    <n v="440000"/>
    <n v="395309"/>
    <n v="447475"/>
    <n v="29608"/>
    <n v="22558"/>
    <n v="0"/>
    <n v="0"/>
    <n v="4474.75"/>
    <n v="3000"/>
    <n v="443000"/>
    <n v="8000"/>
    <m/>
    <n v="447475"/>
    <n v="67121"/>
    <x v="1"/>
    <x v="0"/>
    <x v="4"/>
    <x v="20"/>
  </r>
  <r>
    <x v="16"/>
    <s v="S17_2024_8"/>
    <x v="0"/>
    <s v="Transversal"/>
    <x v="16"/>
    <s v="Velonasy"/>
    <x v="8"/>
    <x v="77"/>
    <x v="61"/>
    <d v="2024-08-26T00:00:00"/>
    <n v="499800"/>
    <n v="395309"/>
    <n v="512547"/>
    <n v="29608"/>
    <n v="22558"/>
    <n v="1"/>
    <n v="35"/>
    <n v="5125.47"/>
    <n v="7613"/>
    <n v="507422"/>
    <n v="6000"/>
    <m/>
    <n v="512547"/>
    <n v="76882"/>
    <x v="1"/>
    <x v="0"/>
    <x v="4"/>
    <x v="20"/>
  </r>
  <r>
    <x v="33"/>
    <s v="S34_2024_8"/>
    <x v="1"/>
    <s v="Transversal"/>
    <x v="33"/>
    <s v="Valérie"/>
    <x v="16"/>
    <x v="77"/>
    <x v="61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20"/>
  </r>
  <r>
    <x v="23"/>
    <s v="S24_2024_8"/>
    <x v="2"/>
    <s v="Transversal"/>
    <x v="23"/>
    <s v="Christophe"/>
    <x v="14"/>
    <x v="77"/>
    <x v="61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20"/>
  </r>
  <r>
    <x v="35"/>
    <s v="S36_2024_8"/>
    <x v="2"/>
    <s v="Transversal"/>
    <x v="35"/>
    <s v="Judicaël"/>
    <x v="3"/>
    <x v="77"/>
    <x v="61"/>
    <d v="2024-05-27T00:00:00"/>
    <n v="600000"/>
    <n v="633207"/>
    <n v="633207"/>
    <n v="0"/>
    <n v="0"/>
    <n v="0"/>
    <n v="0"/>
    <n v="6332.07"/>
    <n v="26875"/>
    <n v="626875"/>
    <n v="6000"/>
    <m/>
    <n v="633207"/>
    <n v="94981"/>
    <x v="14"/>
    <x v="14"/>
    <x v="1"/>
    <x v="20"/>
  </r>
  <r>
    <x v="4"/>
    <s v="S05_2024_8"/>
    <x v="0"/>
    <s v="Transversal"/>
    <x v="4"/>
    <s v="Florentin"/>
    <x v="3"/>
    <x v="77"/>
    <x v="61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20"/>
  </r>
  <r>
    <x v="56"/>
    <s v="S59_2024_8"/>
    <x v="2"/>
    <s v="Construction"/>
    <x v="56"/>
    <s v="Niaina"/>
    <x v="25"/>
    <x v="77"/>
    <x v="61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20"/>
  </r>
  <r>
    <x v="58"/>
    <s v="S61_2024_8"/>
    <x v="2"/>
    <s v="Maintenance"/>
    <x v="58"/>
    <s v="Danny"/>
    <x v="1"/>
    <x v="77"/>
    <x v="61"/>
    <d v="2024-08-26T00:00:00"/>
    <e v="#REF!"/>
    <n v="12817"/>
    <e v="#REF!"/>
    <n v="0"/>
    <n v="0"/>
    <n v="0"/>
    <n v="0"/>
    <e v="#REF!"/>
    <e v="#REF!"/>
    <e v="#REF!"/>
    <n v="2000"/>
    <m/>
    <e v="#REF!"/>
    <e v="#REF!"/>
    <x v="30"/>
    <x v="0"/>
    <x v="1"/>
    <x v="20"/>
  </r>
  <r>
    <x v="59"/>
    <s v="S64_2024_8"/>
    <x v="0"/>
    <s v="Maintenance"/>
    <x v="59"/>
    <s v="Syressi"/>
    <x v="1"/>
    <x v="77"/>
    <x v="61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0"/>
  </r>
  <r>
    <x v="60"/>
    <s v="S65_2024_8"/>
    <x v="0"/>
    <s v="Maintenance"/>
    <x v="60"/>
    <s v="Stanislas"/>
    <x v="1"/>
    <x v="77"/>
    <x v="61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0"/>
  </r>
  <r>
    <x v="61"/>
    <s v="S67_2024_8"/>
    <x v="2"/>
    <s v="Maintenance"/>
    <x v="61"/>
    <s v="Sandro"/>
    <x v="1"/>
    <x v="77"/>
    <x v="61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20"/>
  </r>
  <r>
    <x v="11"/>
    <s v="S12_2024_8"/>
    <x v="0"/>
    <s v="Transversal"/>
    <x v="11"/>
    <s v="Benedictine"/>
    <x v="9"/>
    <x v="77"/>
    <x v="61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20"/>
  </r>
  <r>
    <x v="9"/>
    <s v="S10_2024_9"/>
    <x v="2"/>
    <s v="Maintenance"/>
    <x v="9"/>
    <s v="Alain"/>
    <x v="7"/>
    <x v="78"/>
    <x v="62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20"/>
  </r>
  <r>
    <x v="52"/>
    <s v="S53_2024_9"/>
    <x v="2"/>
    <s v="Maintenance"/>
    <x v="52"/>
    <s v="Ginot"/>
    <x v="1"/>
    <x v="78"/>
    <x v="62"/>
    <d v="2024-09-25T00:00:00"/>
    <e v="#REF!"/>
    <n v="17232"/>
    <e v="#REF!"/>
    <n v="0"/>
    <n v="0"/>
    <n v="0"/>
    <n v="0"/>
    <e v="#REF!"/>
    <e v="#REF!"/>
    <e v="#REF!"/>
    <n v="2000"/>
    <m/>
    <e v="#REF!"/>
    <e v="#REF!"/>
    <x v="24"/>
    <x v="0"/>
    <x v="1"/>
    <x v="20"/>
  </r>
  <r>
    <x v="19"/>
    <s v="S20_2024_9"/>
    <x v="3"/>
    <s v="Maintenance"/>
    <x v="19"/>
    <s v="Manitrasina"/>
    <x v="1"/>
    <x v="78"/>
    <x v="62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20"/>
  </r>
  <r>
    <x v="41"/>
    <s v="S42_2024_9"/>
    <x v="3"/>
    <s v="Maintenance"/>
    <x v="41"/>
    <s v="Fifaliana"/>
    <x v="1"/>
    <x v="78"/>
    <x v="62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0"/>
  </r>
  <r>
    <x v="42"/>
    <s v="S43_2024_9"/>
    <x v="3"/>
    <s v="Maintenance"/>
    <x v="42"/>
    <s v="Hery"/>
    <x v="1"/>
    <x v="78"/>
    <x v="62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0"/>
  </r>
  <r>
    <x v="31"/>
    <s v="S32_2024_9"/>
    <x v="0"/>
    <s v="Maintenance"/>
    <x v="31"/>
    <s v="Francot"/>
    <x v="1"/>
    <x v="78"/>
    <x v="62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0"/>
    <x v="12"/>
    <x v="1"/>
    <x v="20"/>
  </r>
  <r>
    <x v="32"/>
    <s v="S33_2024_9"/>
    <x v="0"/>
    <s v="Maintenance"/>
    <x v="32"/>
    <s v="Perolin"/>
    <x v="1"/>
    <x v="78"/>
    <x v="62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20"/>
  </r>
  <r>
    <x v="27"/>
    <s v="S28_2024_9"/>
    <x v="2"/>
    <s v="Construction"/>
    <x v="27"/>
    <s v="Rodin"/>
    <x v="1"/>
    <x v="78"/>
    <x v="62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20"/>
  </r>
  <r>
    <x v="45"/>
    <s v="S46_2024_9"/>
    <x v="2"/>
    <s v="Maintenance"/>
    <x v="45"/>
    <s v="Angeliot"/>
    <x v="1"/>
    <x v="78"/>
    <x v="62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20"/>
  </r>
  <r>
    <x v="15"/>
    <s v="S16_2024_9"/>
    <x v="0"/>
    <s v="Maintenance"/>
    <x v="15"/>
    <s v="Victorien"/>
    <x v="7"/>
    <x v="78"/>
    <x v="62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20"/>
  </r>
  <r>
    <x v="25"/>
    <s v="S26_2024_9"/>
    <x v="0"/>
    <s v="Construction"/>
    <x v="25"/>
    <s v="Anicet"/>
    <x v="5"/>
    <x v="78"/>
    <x v="62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20"/>
  </r>
  <r>
    <x v="39"/>
    <s v="S40_2024_9"/>
    <x v="3"/>
    <s v="Maintenance"/>
    <x v="39"/>
    <s v="Nalaina"/>
    <x v="20"/>
    <x v="78"/>
    <x v="62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20"/>
  </r>
  <r>
    <x v="49"/>
    <s v="S50_2024_9"/>
    <x v="1"/>
    <s v="Transversal"/>
    <x v="49"/>
    <s v="Sandrine"/>
    <x v="22"/>
    <x v="78"/>
    <x v="62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20"/>
  </r>
  <r>
    <x v="38"/>
    <s v="S39_2024_9"/>
    <x v="3"/>
    <s v="Maintenance"/>
    <x v="38"/>
    <s v="Lydie"/>
    <x v="19"/>
    <x v="78"/>
    <x v="62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20"/>
  </r>
  <r>
    <x v="53"/>
    <s v="S54_2024_9"/>
    <x v="0"/>
    <s v="Construction"/>
    <x v="53"/>
    <s v="Frida"/>
    <x v="24"/>
    <x v="78"/>
    <x v="62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20"/>
  </r>
  <r>
    <x v="55"/>
    <s v="S56_2024_9"/>
    <x v="2"/>
    <s v="Construction"/>
    <x v="55"/>
    <s v="Irène"/>
    <x v="24"/>
    <x v="78"/>
    <x v="62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20"/>
  </r>
  <r>
    <x v="37"/>
    <s v="S38_2024_9"/>
    <x v="2"/>
    <s v="Maintenance"/>
    <x v="37"/>
    <s v="Christian"/>
    <x v="7"/>
    <x v="78"/>
    <x v="62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20"/>
  </r>
  <r>
    <x v="18"/>
    <s v="S19_2024_9"/>
    <x v="0"/>
    <s v="Maintenance"/>
    <x v="18"/>
    <s v="Faly"/>
    <x v="7"/>
    <x v="78"/>
    <x v="62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20"/>
  </r>
  <r>
    <x v="7"/>
    <s v="S08_2024_9"/>
    <x v="0"/>
    <s v="Transversal"/>
    <x v="7"/>
    <s v="Onja"/>
    <x v="6"/>
    <x v="78"/>
    <x v="62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20"/>
  </r>
  <r>
    <x v="0"/>
    <s v="S01_2024_9"/>
    <x v="0"/>
    <s v="Maintenance"/>
    <x v="0"/>
    <s v="Gaetan"/>
    <x v="0"/>
    <x v="78"/>
    <x v="62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20"/>
  </r>
  <r>
    <x v="12"/>
    <s v="S13_2024_9"/>
    <x v="1"/>
    <s v="Transversal"/>
    <x v="12"/>
    <s v="Herizo"/>
    <x v="10"/>
    <x v="78"/>
    <x v="62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20"/>
  </r>
  <r>
    <x v="29"/>
    <s v="S30_2024_9"/>
    <x v="2"/>
    <s v="Transversal"/>
    <x v="29"/>
    <s v="Marie Jeanne"/>
    <x v="9"/>
    <x v="78"/>
    <x v="62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20"/>
  </r>
  <r>
    <x v="10"/>
    <s v="S11_2024_9"/>
    <x v="0"/>
    <s v="Transversal"/>
    <x v="10"/>
    <s v="Raoul"/>
    <x v="8"/>
    <x v="78"/>
    <x v="62"/>
    <d v="2024-09-25T00:00:00"/>
    <n v="525800"/>
    <n v="395309"/>
    <n v="543455"/>
    <n v="29608"/>
    <n v="22558"/>
    <n v="0"/>
    <n v="59"/>
    <n v="5434.55"/>
    <n v="12203"/>
    <n v="538020"/>
    <n v="6000"/>
    <m/>
    <n v="543455"/>
    <n v="81518"/>
    <x v="1"/>
    <x v="0"/>
    <x v="4"/>
    <x v="20"/>
  </r>
  <r>
    <x v="13"/>
    <s v="S14_2024_9"/>
    <x v="0"/>
    <s v="Transversal"/>
    <x v="13"/>
    <s v="Rene"/>
    <x v="8"/>
    <x v="78"/>
    <x v="62"/>
    <d v="2024-09-25T00:00:00"/>
    <n v="522300"/>
    <n v="395309"/>
    <n v="536948"/>
    <n v="29608"/>
    <n v="22558"/>
    <n v="0"/>
    <n v="55"/>
    <n v="5369.48"/>
    <n v="9237"/>
    <n v="531579"/>
    <n v="8000"/>
    <m/>
    <n v="536948"/>
    <n v="80542"/>
    <x v="1"/>
    <x v="0"/>
    <x v="4"/>
    <x v="20"/>
  </r>
  <r>
    <x v="16"/>
    <s v="S17_2024_9"/>
    <x v="0"/>
    <s v="Transversal"/>
    <x v="16"/>
    <s v="Velonasy"/>
    <x v="8"/>
    <x v="78"/>
    <x v="62"/>
    <d v="2024-06-24T00:00:00"/>
    <n v="440000"/>
    <n v="395309"/>
    <n v="447475"/>
    <n v="29608"/>
    <n v="22558"/>
    <n v="0"/>
    <n v="0"/>
    <n v="4474.75"/>
    <n v="3000"/>
    <n v="443000"/>
    <n v="6000"/>
    <m/>
    <n v="447475"/>
    <n v="67121"/>
    <x v="1"/>
    <x v="0"/>
    <x v="4"/>
    <x v="20"/>
  </r>
  <r>
    <x v="33"/>
    <s v="S34_2024_9"/>
    <x v="1"/>
    <s v="Transversal"/>
    <x v="33"/>
    <s v="Valérie"/>
    <x v="16"/>
    <x v="78"/>
    <x v="62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20"/>
  </r>
  <r>
    <x v="23"/>
    <s v="S24_2024_9"/>
    <x v="2"/>
    <s v="Transversal"/>
    <x v="23"/>
    <s v="Christophe"/>
    <x v="14"/>
    <x v="78"/>
    <x v="62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20"/>
  </r>
  <r>
    <x v="35"/>
    <s v="S36_2024_9"/>
    <x v="2"/>
    <s v="Transversal"/>
    <x v="35"/>
    <s v="Judicaël"/>
    <x v="3"/>
    <x v="78"/>
    <x v="62"/>
    <d v="2024-05-27T00:00:00"/>
    <n v="600000"/>
    <n v="633207"/>
    <n v="633207"/>
    <n v="0"/>
    <n v="0"/>
    <n v="0"/>
    <n v="0"/>
    <n v="6332.07"/>
    <n v="26875"/>
    <n v="626875"/>
    <n v="6000"/>
    <m/>
    <n v="633207"/>
    <n v="94981"/>
    <x v="14"/>
    <x v="14"/>
    <x v="1"/>
    <x v="20"/>
  </r>
  <r>
    <x v="4"/>
    <s v="S05_2024_9"/>
    <x v="0"/>
    <s v="Transversal"/>
    <x v="4"/>
    <s v="Florentin"/>
    <x v="3"/>
    <x v="78"/>
    <x v="62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20"/>
  </r>
  <r>
    <x v="56"/>
    <s v="S59_2024_9"/>
    <x v="2"/>
    <s v="Construction"/>
    <x v="56"/>
    <s v="Niaina"/>
    <x v="25"/>
    <x v="78"/>
    <x v="62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20"/>
  </r>
  <r>
    <x v="58"/>
    <s v="S61_2024_9"/>
    <x v="2"/>
    <s v="Maintenance"/>
    <x v="58"/>
    <s v="Danny"/>
    <x v="1"/>
    <x v="78"/>
    <x v="62"/>
    <d v="2024-09-25T00:00:00"/>
    <e v="#REF!"/>
    <n v="12817"/>
    <e v="#REF!"/>
    <n v="0"/>
    <n v="0"/>
    <n v="0"/>
    <n v="0"/>
    <e v="#REF!"/>
    <e v="#REF!"/>
    <e v="#REF!"/>
    <n v="2000"/>
    <m/>
    <e v="#REF!"/>
    <e v="#REF!"/>
    <x v="30"/>
    <x v="0"/>
    <x v="1"/>
    <x v="20"/>
  </r>
  <r>
    <x v="59"/>
    <s v="S64_2024_9"/>
    <x v="0"/>
    <s v="Maintenance"/>
    <x v="59"/>
    <s v="Syressi"/>
    <x v="1"/>
    <x v="78"/>
    <x v="62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0"/>
  </r>
  <r>
    <x v="60"/>
    <s v="S65_2024_9"/>
    <x v="0"/>
    <s v="Maintenance"/>
    <x v="60"/>
    <s v="Stanislas"/>
    <x v="1"/>
    <x v="78"/>
    <x v="62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0"/>
  </r>
  <r>
    <x v="61"/>
    <s v="S67_2024_9"/>
    <x v="2"/>
    <s v="Maintenance"/>
    <x v="61"/>
    <s v="Sandro"/>
    <x v="1"/>
    <x v="78"/>
    <x v="62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20"/>
  </r>
  <r>
    <x v="11"/>
    <s v="S12_2024_9"/>
    <x v="0"/>
    <s v="Transversal"/>
    <x v="11"/>
    <s v="Benedictine"/>
    <x v="9"/>
    <x v="78"/>
    <x v="62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20"/>
  </r>
  <r>
    <x v="9"/>
    <s v="S10_2024_10"/>
    <x v="2"/>
    <s v="Maintenance"/>
    <x v="9"/>
    <s v="Alain"/>
    <x v="7"/>
    <x v="79"/>
    <x v="63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21"/>
  </r>
  <r>
    <x v="52"/>
    <s v="S53_2024_10"/>
    <x v="2"/>
    <s v="Maintenance"/>
    <x v="52"/>
    <s v="Ginot"/>
    <x v="1"/>
    <x v="79"/>
    <x v="63"/>
    <d v="2024-10-24T00:00:00"/>
    <n v="338200"/>
    <n v="17232"/>
    <n v="344640"/>
    <n v="0"/>
    <n v="0"/>
    <n v="0"/>
    <n v="0"/>
    <n v="3446.4"/>
    <n v="3000"/>
    <n v="341194"/>
    <n v="2000"/>
    <m/>
    <n v="344640"/>
    <n v="51696"/>
    <x v="24"/>
    <x v="0"/>
    <x v="1"/>
    <x v="21"/>
  </r>
  <r>
    <x v="19"/>
    <s v="S20_2024_10"/>
    <x v="3"/>
    <s v="Maintenance"/>
    <x v="19"/>
    <s v="Manitrasina"/>
    <x v="1"/>
    <x v="79"/>
    <x v="63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21"/>
  </r>
  <r>
    <x v="41"/>
    <s v="S42_2024_10"/>
    <x v="3"/>
    <s v="Maintenance"/>
    <x v="41"/>
    <s v="Fifaliana"/>
    <x v="1"/>
    <x v="79"/>
    <x v="63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1"/>
  </r>
  <r>
    <x v="42"/>
    <s v="S43_2024_10"/>
    <x v="3"/>
    <s v="Maintenance"/>
    <x v="42"/>
    <s v="Hery"/>
    <x v="1"/>
    <x v="79"/>
    <x v="63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1"/>
  </r>
  <r>
    <x v="31"/>
    <s v="S32_2024_10"/>
    <x v="0"/>
    <s v="Maintenance"/>
    <x v="31"/>
    <s v="Francot"/>
    <x v="1"/>
    <x v="79"/>
    <x v="63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0"/>
    <x v="12"/>
    <x v="1"/>
    <x v="21"/>
  </r>
  <r>
    <x v="32"/>
    <s v="S33_2024_10"/>
    <x v="0"/>
    <s v="Maintenance"/>
    <x v="32"/>
    <s v="Perolin"/>
    <x v="1"/>
    <x v="79"/>
    <x v="63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21"/>
  </r>
  <r>
    <x v="27"/>
    <s v="S28_2024_10"/>
    <x v="2"/>
    <s v="Construction"/>
    <x v="27"/>
    <s v="Rodin"/>
    <x v="1"/>
    <x v="79"/>
    <x v="63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21"/>
  </r>
  <r>
    <x v="45"/>
    <s v="S46_2024_10"/>
    <x v="2"/>
    <s v="Maintenance"/>
    <x v="45"/>
    <s v="Angeliot"/>
    <x v="1"/>
    <x v="79"/>
    <x v="63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21"/>
  </r>
  <r>
    <x v="15"/>
    <s v="S16_2024_10"/>
    <x v="0"/>
    <s v="Maintenance"/>
    <x v="15"/>
    <s v="Victorien"/>
    <x v="7"/>
    <x v="79"/>
    <x v="63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21"/>
  </r>
  <r>
    <x v="25"/>
    <s v="S26_2024_10"/>
    <x v="0"/>
    <s v="Construction"/>
    <x v="25"/>
    <s v="Anicet"/>
    <x v="5"/>
    <x v="79"/>
    <x v="63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21"/>
  </r>
  <r>
    <x v="39"/>
    <s v="S40_2024_10"/>
    <x v="3"/>
    <s v="Maintenance"/>
    <x v="39"/>
    <s v="Nalaina"/>
    <x v="20"/>
    <x v="79"/>
    <x v="63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21"/>
  </r>
  <r>
    <x v="49"/>
    <s v="S50_2024_10"/>
    <x v="1"/>
    <s v="Transversal"/>
    <x v="49"/>
    <s v="Sandrine"/>
    <x v="22"/>
    <x v="79"/>
    <x v="63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21"/>
  </r>
  <r>
    <x v="38"/>
    <s v="S39_2024_10"/>
    <x v="3"/>
    <s v="Maintenance"/>
    <x v="38"/>
    <s v="Lydie"/>
    <x v="19"/>
    <x v="79"/>
    <x v="63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21"/>
  </r>
  <r>
    <x v="53"/>
    <s v="S54_2024_10"/>
    <x v="0"/>
    <s v="Construction"/>
    <x v="53"/>
    <s v="Frida"/>
    <x v="24"/>
    <x v="79"/>
    <x v="63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21"/>
  </r>
  <r>
    <x v="55"/>
    <s v="S56_2024_10"/>
    <x v="2"/>
    <s v="Construction"/>
    <x v="55"/>
    <s v="Irène"/>
    <x v="24"/>
    <x v="79"/>
    <x v="63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21"/>
  </r>
  <r>
    <x v="37"/>
    <s v="S38_2024_10"/>
    <x v="2"/>
    <s v="Maintenance"/>
    <x v="37"/>
    <s v="Christian"/>
    <x v="7"/>
    <x v="79"/>
    <x v="63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21"/>
  </r>
  <r>
    <x v="18"/>
    <s v="S19_2024_10"/>
    <x v="0"/>
    <s v="Maintenance"/>
    <x v="18"/>
    <s v="Faly"/>
    <x v="7"/>
    <x v="79"/>
    <x v="63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21"/>
  </r>
  <r>
    <x v="7"/>
    <s v="S08_2024_10"/>
    <x v="0"/>
    <s v="Transversal"/>
    <x v="7"/>
    <s v="Onja"/>
    <x v="6"/>
    <x v="79"/>
    <x v="63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21"/>
  </r>
  <r>
    <x v="0"/>
    <s v="S01_2024_10"/>
    <x v="0"/>
    <s v="Maintenance"/>
    <x v="0"/>
    <s v="Gaetan"/>
    <x v="0"/>
    <x v="79"/>
    <x v="63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21"/>
  </r>
  <r>
    <x v="12"/>
    <s v="S13_2024_10"/>
    <x v="1"/>
    <s v="Transversal"/>
    <x v="12"/>
    <s v="Herizo"/>
    <x v="10"/>
    <x v="79"/>
    <x v="63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21"/>
  </r>
  <r>
    <x v="29"/>
    <s v="S30_2024_10"/>
    <x v="2"/>
    <s v="Transversal"/>
    <x v="29"/>
    <s v="Marie Jeanne"/>
    <x v="9"/>
    <x v="79"/>
    <x v="63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21"/>
  </r>
  <r>
    <x v="10"/>
    <s v="S11_2024_10"/>
    <x v="0"/>
    <s v="Transversal"/>
    <x v="10"/>
    <s v="Raoul"/>
    <x v="8"/>
    <x v="79"/>
    <x v="63"/>
    <d v="2024-10-24T00:00:00"/>
    <n v="539500"/>
    <n v="395309"/>
    <n v="559723"/>
    <n v="29608"/>
    <n v="22558"/>
    <n v="0"/>
    <n v="69"/>
    <n v="5597.23"/>
    <n v="14619"/>
    <n v="554126"/>
    <n v="6000"/>
    <m/>
    <n v="559723"/>
    <n v="83958"/>
    <x v="1"/>
    <x v="0"/>
    <x v="4"/>
    <x v="21"/>
  </r>
  <r>
    <x v="13"/>
    <s v="S14_2024_10"/>
    <x v="0"/>
    <s v="Transversal"/>
    <x v="13"/>
    <s v="Rene"/>
    <x v="8"/>
    <x v="79"/>
    <x v="63"/>
    <d v="2024-10-24T00:00:00"/>
    <n v="527800"/>
    <n v="395309"/>
    <n v="543455"/>
    <n v="29608"/>
    <n v="22558"/>
    <n v="0"/>
    <n v="59"/>
    <n v="5434.55"/>
    <n v="10203"/>
    <n v="538020"/>
    <n v="8000"/>
    <m/>
    <n v="543455"/>
    <n v="81518"/>
    <x v="1"/>
    <x v="0"/>
    <x v="4"/>
    <x v="21"/>
  </r>
  <r>
    <x v="16"/>
    <s v="S17_2024_10"/>
    <x v="0"/>
    <s v="Transversal"/>
    <x v="16"/>
    <s v="Velonasy"/>
    <x v="8"/>
    <x v="79"/>
    <x v="63"/>
    <d v="2024-06-24T00:00:00"/>
    <n v="440000"/>
    <n v="395309"/>
    <n v="447475"/>
    <n v="29608"/>
    <n v="22558"/>
    <n v="0"/>
    <n v="0"/>
    <n v="4474.75"/>
    <n v="3000"/>
    <n v="443000"/>
    <n v="6000"/>
    <m/>
    <n v="447475"/>
    <n v="67121"/>
    <x v="1"/>
    <x v="0"/>
    <x v="4"/>
    <x v="21"/>
  </r>
  <r>
    <x v="33"/>
    <s v="S34_2024_10"/>
    <x v="1"/>
    <s v="Transversal"/>
    <x v="33"/>
    <s v="Valérie"/>
    <x v="16"/>
    <x v="79"/>
    <x v="63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21"/>
  </r>
  <r>
    <x v="23"/>
    <s v="S24_2024_10"/>
    <x v="2"/>
    <s v="Transversal"/>
    <x v="23"/>
    <s v="Christophe"/>
    <x v="14"/>
    <x v="79"/>
    <x v="63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21"/>
  </r>
  <r>
    <x v="4"/>
    <s v="S05_2024_10"/>
    <x v="0"/>
    <s v="Transversal"/>
    <x v="4"/>
    <s v="Florentin"/>
    <x v="3"/>
    <x v="79"/>
    <x v="63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21"/>
  </r>
  <r>
    <x v="56"/>
    <s v="S59_2024_10"/>
    <x v="2"/>
    <s v="Construction"/>
    <x v="56"/>
    <s v="Niaina"/>
    <x v="25"/>
    <x v="79"/>
    <x v="63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21"/>
  </r>
  <r>
    <x v="58"/>
    <s v="S61_2024_10"/>
    <x v="2"/>
    <s v="Maintenance"/>
    <x v="58"/>
    <s v="Danny"/>
    <x v="1"/>
    <x v="79"/>
    <x v="63"/>
    <d v="2024-10-24T00:00:00"/>
    <n v="225400"/>
    <n v="12817"/>
    <n v="230706"/>
    <n v="0"/>
    <n v="0"/>
    <n v="0"/>
    <n v="0"/>
    <n v="2307.06"/>
    <n v="3000"/>
    <n v="228399"/>
    <n v="2000"/>
    <m/>
    <n v="230706"/>
    <n v="34606"/>
    <x v="30"/>
    <x v="0"/>
    <x v="1"/>
    <x v="21"/>
  </r>
  <r>
    <x v="35"/>
    <s v="S36_2024_10"/>
    <x v="2"/>
    <s v="Transversal"/>
    <x v="35"/>
    <s v="Judicaël"/>
    <x v="3"/>
    <x v="79"/>
    <x v="63"/>
    <d v="2024-10-24T00:00:00"/>
    <n v="310400"/>
    <n v="316603"/>
    <n v="316603"/>
    <n v="0"/>
    <n v="0"/>
    <n v="0"/>
    <n v="0"/>
    <n v="3166.03"/>
    <n v="3000"/>
    <n v="313437"/>
    <n v="6000"/>
    <m/>
    <n v="316603"/>
    <n v="47490"/>
    <x v="14"/>
    <x v="14"/>
    <x v="1"/>
    <x v="21"/>
  </r>
  <r>
    <x v="59"/>
    <s v="S64_2024_10"/>
    <x v="0"/>
    <s v="Maintenance"/>
    <x v="59"/>
    <s v="Syressi"/>
    <x v="1"/>
    <x v="79"/>
    <x v="63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1"/>
  </r>
  <r>
    <x v="60"/>
    <s v="S65_2024_10"/>
    <x v="0"/>
    <s v="Maintenance"/>
    <x v="60"/>
    <s v="Stanislas"/>
    <x v="1"/>
    <x v="79"/>
    <x v="63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1"/>
  </r>
  <r>
    <x v="61"/>
    <s v="S67_2024_10"/>
    <x v="2"/>
    <s v="Maintenance"/>
    <x v="61"/>
    <s v="Sandro"/>
    <x v="1"/>
    <x v="79"/>
    <x v="63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21"/>
  </r>
  <r>
    <x v="11"/>
    <s v="S12_2024_10"/>
    <x v="0"/>
    <s v="Transversal"/>
    <x v="11"/>
    <s v="Benedictine"/>
    <x v="9"/>
    <x v="79"/>
    <x v="63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21"/>
  </r>
  <r>
    <x v="9"/>
    <s v="S10_2024_11"/>
    <x v="2"/>
    <s v="Maintenance"/>
    <x v="9"/>
    <s v="Alain"/>
    <x v="7"/>
    <x v="80"/>
    <x v="64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21"/>
  </r>
  <r>
    <x v="52"/>
    <s v="S53_2024_11"/>
    <x v="2"/>
    <s v="Maintenance"/>
    <x v="52"/>
    <s v="Ginot"/>
    <x v="1"/>
    <x v="80"/>
    <x v="64"/>
    <d v="2024-11-26T00:00:00"/>
    <n v="423300"/>
    <n v="17232"/>
    <n v="430800"/>
    <n v="0"/>
    <n v="0"/>
    <n v="0"/>
    <n v="0"/>
    <n v="4308"/>
    <n v="3149"/>
    <n v="426492"/>
    <n v="2000"/>
    <m/>
    <n v="430800"/>
    <n v="64620"/>
    <x v="24"/>
    <x v="0"/>
    <x v="1"/>
    <x v="21"/>
  </r>
  <r>
    <x v="19"/>
    <s v="S20_2024_11"/>
    <x v="3"/>
    <s v="Maintenance"/>
    <x v="19"/>
    <s v="Manitrasina"/>
    <x v="1"/>
    <x v="80"/>
    <x v="64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21"/>
  </r>
  <r>
    <x v="41"/>
    <s v="S42_2024_11"/>
    <x v="3"/>
    <s v="Maintenance"/>
    <x v="41"/>
    <s v="Fifaliana"/>
    <x v="1"/>
    <x v="80"/>
    <x v="64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1"/>
  </r>
  <r>
    <x v="42"/>
    <s v="S43_2024_11"/>
    <x v="3"/>
    <s v="Maintenance"/>
    <x v="42"/>
    <s v="Hery"/>
    <x v="1"/>
    <x v="80"/>
    <x v="64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1"/>
  </r>
  <r>
    <x v="31"/>
    <s v="S32_2024_11"/>
    <x v="0"/>
    <s v="Maintenance"/>
    <x v="31"/>
    <s v="Francot"/>
    <x v="1"/>
    <x v="80"/>
    <x v="64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0"/>
    <x v="12"/>
    <x v="1"/>
    <x v="21"/>
  </r>
  <r>
    <x v="32"/>
    <s v="S33_2024_11"/>
    <x v="0"/>
    <s v="Maintenance"/>
    <x v="32"/>
    <s v="Perolin"/>
    <x v="1"/>
    <x v="80"/>
    <x v="64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21"/>
  </r>
  <r>
    <x v="27"/>
    <s v="S28_2024_11"/>
    <x v="2"/>
    <s v="Construction"/>
    <x v="27"/>
    <s v="Rodin"/>
    <x v="1"/>
    <x v="80"/>
    <x v="64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21"/>
  </r>
  <r>
    <x v="45"/>
    <s v="S46_2024_11"/>
    <x v="2"/>
    <s v="Maintenance"/>
    <x v="45"/>
    <s v="Angeliot"/>
    <x v="1"/>
    <x v="80"/>
    <x v="64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21"/>
  </r>
  <r>
    <x v="15"/>
    <s v="S16_2024_11"/>
    <x v="0"/>
    <s v="Maintenance"/>
    <x v="15"/>
    <s v="Victorien"/>
    <x v="7"/>
    <x v="80"/>
    <x v="64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21"/>
  </r>
  <r>
    <x v="25"/>
    <s v="S26_2024_11"/>
    <x v="0"/>
    <s v="Construction"/>
    <x v="25"/>
    <s v="Anicet"/>
    <x v="5"/>
    <x v="80"/>
    <x v="64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21"/>
  </r>
  <r>
    <x v="39"/>
    <s v="S40_2024_11"/>
    <x v="3"/>
    <s v="Maintenance"/>
    <x v="39"/>
    <s v="Nalaina"/>
    <x v="20"/>
    <x v="80"/>
    <x v="64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21"/>
  </r>
  <r>
    <x v="49"/>
    <s v="S50_2024_11"/>
    <x v="1"/>
    <s v="Transversal"/>
    <x v="49"/>
    <s v="Sandrine"/>
    <x v="22"/>
    <x v="80"/>
    <x v="64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21"/>
  </r>
  <r>
    <x v="38"/>
    <s v="S39_2024_11"/>
    <x v="3"/>
    <s v="Maintenance"/>
    <x v="38"/>
    <s v="Lydie"/>
    <x v="19"/>
    <x v="80"/>
    <x v="64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21"/>
  </r>
  <r>
    <x v="53"/>
    <s v="S54_2024_11"/>
    <x v="0"/>
    <s v="Construction"/>
    <x v="53"/>
    <s v="Frida"/>
    <x v="24"/>
    <x v="80"/>
    <x v="64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21"/>
  </r>
  <r>
    <x v="55"/>
    <s v="S56_2024_11"/>
    <x v="2"/>
    <s v="Construction"/>
    <x v="55"/>
    <s v="Irène"/>
    <x v="24"/>
    <x v="80"/>
    <x v="64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21"/>
  </r>
  <r>
    <x v="37"/>
    <s v="S38_2024_11"/>
    <x v="2"/>
    <s v="Maintenance"/>
    <x v="37"/>
    <s v="Christian"/>
    <x v="7"/>
    <x v="80"/>
    <x v="64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21"/>
  </r>
  <r>
    <x v="18"/>
    <s v="S19_2024_11"/>
    <x v="0"/>
    <s v="Maintenance"/>
    <x v="18"/>
    <s v="Faly"/>
    <x v="7"/>
    <x v="80"/>
    <x v="64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21"/>
  </r>
  <r>
    <x v="7"/>
    <s v="S08_2024_11"/>
    <x v="0"/>
    <s v="Transversal"/>
    <x v="7"/>
    <s v="Onja"/>
    <x v="6"/>
    <x v="80"/>
    <x v="64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21"/>
  </r>
  <r>
    <x v="0"/>
    <s v="S01_2024_11"/>
    <x v="0"/>
    <s v="Maintenance"/>
    <x v="0"/>
    <s v="Gaetan"/>
    <x v="0"/>
    <x v="80"/>
    <x v="64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21"/>
  </r>
  <r>
    <x v="12"/>
    <s v="S13_2024_11"/>
    <x v="1"/>
    <s v="Transversal"/>
    <x v="12"/>
    <s v="Herizo"/>
    <x v="10"/>
    <x v="80"/>
    <x v="64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21"/>
  </r>
  <r>
    <x v="29"/>
    <s v="S30_2024_11"/>
    <x v="2"/>
    <s v="Transversal"/>
    <x v="29"/>
    <s v="Marie Jeanne"/>
    <x v="9"/>
    <x v="80"/>
    <x v="64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21"/>
  </r>
  <r>
    <x v="10"/>
    <s v="S11_2024_11"/>
    <x v="0"/>
    <s v="Transversal"/>
    <x v="10"/>
    <s v="Raoul"/>
    <x v="8"/>
    <x v="80"/>
    <x v="64"/>
    <d v="2024-11-26T00:00:00"/>
    <n v="520300"/>
    <n v="395309"/>
    <n v="536948"/>
    <n v="29608"/>
    <n v="22558"/>
    <n v="0"/>
    <n v="55"/>
    <n v="5369.48"/>
    <n v="11237"/>
    <n v="531579"/>
    <n v="6000"/>
    <m/>
    <n v="536948"/>
    <n v="80542"/>
    <x v="1"/>
    <x v="0"/>
    <x v="4"/>
    <x v="21"/>
  </r>
  <r>
    <x v="13"/>
    <s v="S14_2024_11"/>
    <x v="0"/>
    <s v="Transversal"/>
    <x v="13"/>
    <s v="Rene"/>
    <x v="8"/>
    <x v="80"/>
    <x v="64"/>
    <d v="2024-08-26T00:00:00"/>
    <n v="440000"/>
    <n v="395309"/>
    <n v="447475"/>
    <n v="29608"/>
    <n v="22558"/>
    <n v="0"/>
    <n v="0"/>
    <n v="4474.75"/>
    <n v="3000"/>
    <n v="443000"/>
    <n v="8000"/>
    <m/>
    <n v="447475"/>
    <n v="67121"/>
    <x v="1"/>
    <x v="0"/>
    <x v="4"/>
    <x v="21"/>
  </r>
  <r>
    <x v="16"/>
    <s v="S17_2024_11"/>
    <x v="0"/>
    <s v="Transversal"/>
    <x v="16"/>
    <s v="Velonasy"/>
    <x v="8"/>
    <x v="80"/>
    <x v="64"/>
    <d v="2024-11-26T00:00:00"/>
    <n v="525800"/>
    <n v="395309"/>
    <n v="543455"/>
    <n v="29608"/>
    <n v="22558"/>
    <n v="0"/>
    <n v="59"/>
    <n v="5434.55"/>
    <n v="12203"/>
    <n v="538020"/>
    <n v="6000"/>
    <m/>
    <n v="543455"/>
    <n v="81518"/>
    <x v="1"/>
    <x v="0"/>
    <x v="4"/>
    <x v="21"/>
  </r>
  <r>
    <x v="33"/>
    <s v="S34_2024_11"/>
    <x v="1"/>
    <s v="Transversal"/>
    <x v="33"/>
    <s v="Valérie"/>
    <x v="16"/>
    <x v="80"/>
    <x v="64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21"/>
  </r>
  <r>
    <x v="23"/>
    <s v="S24_2024_11"/>
    <x v="2"/>
    <s v="Transversal"/>
    <x v="23"/>
    <s v="Christophe"/>
    <x v="14"/>
    <x v="80"/>
    <x v="64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21"/>
  </r>
  <r>
    <x v="4"/>
    <s v="S05_2024_11"/>
    <x v="0"/>
    <s v="Transversal"/>
    <x v="4"/>
    <s v="Florentin"/>
    <x v="3"/>
    <x v="80"/>
    <x v="64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21"/>
  </r>
  <r>
    <x v="56"/>
    <s v="S59_2024_11"/>
    <x v="2"/>
    <s v="Construction"/>
    <x v="56"/>
    <s v="Niaina"/>
    <x v="25"/>
    <x v="80"/>
    <x v="64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21"/>
  </r>
  <r>
    <x v="58"/>
    <s v="S61_2024_11"/>
    <x v="2"/>
    <s v="Maintenance"/>
    <x v="58"/>
    <s v="Danny"/>
    <x v="1"/>
    <x v="80"/>
    <x v="64"/>
    <d v="2024-11-26T00:00:00"/>
    <n v="238100"/>
    <n v="12817"/>
    <n v="243523"/>
    <n v="0"/>
    <n v="0"/>
    <n v="0"/>
    <n v="0"/>
    <n v="2435.23"/>
    <n v="3000"/>
    <n v="241088"/>
    <n v="2000"/>
    <m/>
    <n v="243523"/>
    <n v="36528"/>
    <x v="30"/>
    <x v="0"/>
    <x v="1"/>
    <x v="21"/>
  </r>
  <r>
    <x v="59"/>
    <s v="S64_2024_11"/>
    <x v="0"/>
    <s v="Maintenance"/>
    <x v="59"/>
    <s v="Syressi"/>
    <x v="1"/>
    <x v="80"/>
    <x v="64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1"/>
  </r>
  <r>
    <x v="60"/>
    <s v="S65_2024_11"/>
    <x v="0"/>
    <s v="Maintenance"/>
    <x v="60"/>
    <s v="Stanislas"/>
    <x v="1"/>
    <x v="80"/>
    <x v="64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1"/>
  </r>
  <r>
    <x v="61"/>
    <s v="S67_2024_11"/>
    <x v="2"/>
    <s v="Maintenance"/>
    <x v="61"/>
    <s v="Sandro"/>
    <x v="1"/>
    <x v="80"/>
    <x v="64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21"/>
  </r>
  <r>
    <x v="11"/>
    <s v="S12_2024_11"/>
    <x v="0"/>
    <s v="Transversal"/>
    <x v="11"/>
    <s v="Benedictine"/>
    <x v="9"/>
    <x v="80"/>
    <x v="64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21"/>
  </r>
  <r>
    <x v="62"/>
    <s v="S68_2024_11"/>
    <x v="0"/>
    <s v="Maintenance"/>
    <x v="62"/>
    <s v="Elito"/>
    <x v="1"/>
    <x v="80"/>
    <x v="64"/>
    <d v="2024-11-26T00:00:00"/>
    <n v="350000"/>
    <n v="356566"/>
    <n v="356566"/>
    <n v="0"/>
    <n v="0"/>
    <n v="0"/>
    <n v="0"/>
    <n v="3565.66"/>
    <n v="3000"/>
    <n v="353000"/>
    <n v="4000"/>
    <m/>
    <n v="356566"/>
    <n v="53485"/>
    <x v="33"/>
    <x v="0"/>
    <x v="1"/>
    <x v="21"/>
  </r>
  <r>
    <x v="63"/>
    <s v="S69_2024_11"/>
    <x v="0"/>
    <s v="Maintenance"/>
    <x v="63"/>
    <s v="Pierrot"/>
    <x v="1"/>
    <x v="80"/>
    <x v="64"/>
    <d v="2024-11-26T00:00:00"/>
    <n v="350000"/>
    <n v="356566"/>
    <n v="356566"/>
    <n v="0"/>
    <n v="0"/>
    <n v="0"/>
    <n v="0"/>
    <n v="3565.66"/>
    <n v="3000"/>
    <n v="353000"/>
    <n v="4000"/>
    <m/>
    <n v="356566"/>
    <n v="53485"/>
    <x v="33"/>
    <x v="0"/>
    <x v="1"/>
    <x v="21"/>
  </r>
  <r>
    <x v="64"/>
    <s v="S70_2024_11"/>
    <x v="2"/>
    <s v="Maintenance"/>
    <x v="64"/>
    <s v="Vincent"/>
    <x v="1"/>
    <x v="80"/>
    <x v="64"/>
    <d v="2024-11-26T00:00:00"/>
    <n v="300000"/>
    <n v="306061"/>
    <n v="306061"/>
    <n v="0"/>
    <n v="0"/>
    <n v="0"/>
    <n v="0"/>
    <n v="3060.61"/>
    <n v="3000"/>
    <n v="303000"/>
    <n v="2000"/>
    <m/>
    <n v="306061"/>
    <n v="45909"/>
    <x v="33"/>
    <x v="0"/>
    <x v="1"/>
    <x v="21"/>
  </r>
  <r>
    <x v="65"/>
    <s v="S71_2024_11"/>
    <x v="2"/>
    <s v="Maintenance"/>
    <x v="65"/>
    <s v="Hyacintte  "/>
    <x v="1"/>
    <x v="80"/>
    <x v="64"/>
    <d v="2024-11-26T00:00:00"/>
    <n v="300000"/>
    <n v="306061"/>
    <n v="306061"/>
    <n v="0"/>
    <n v="0"/>
    <n v="0"/>
    <n v="0"/>
    <n v="3060.61"/>
    <n v="3000"/>
    <n v="303000"/>
    <n v="6000"/>
    <m/>
    <n v="306061"/>
    <n v="45909"/>
    <x v="33"/>
    <x v="0"/>
    <x v="1"/>
    <x v="21"/>
  </r>
  <r>
    <x v="9"/>
    <s v="S10_2024_12"/>
    <x v="2"/>
    <s v="Maintenance"/>
    <x v="9"/>
    <s v="Alain"/>
    <x v="7"/>
    <x v="81"/>
    <x v="65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21"/>
  </r>
  <r>
    <x v="52"/>
    <s v="S53_2024_12"/>
    <x v="2"/>
    <s v="Maintenance"/>
    <x v="52"/>
    <s v="Ginot"/>
    <x v="1"/>
    <x v="81"/>
    <x v="65"/>
    <d v="2024-12-19T00:00:00"/>
    <n v="270000"/>
    <n v="17232"/>
    <n v="275712"/>
    <n v="0"/>
    <n v="0"/>
    <n v="0"/>
    <n v="0"/>
    <n v="2757.12"/>
    <n v="3000"/>
    <n v="272955"/>
    <n v="2000"/>
    <m/>
    <n v="275712"/>
    <n v="41357"/>
    <x v="24"/>
    <x v="0"/>
    <x v="1"/>
    <x v="21"/>
  </r>
  <r>
    <x v="19"/>
    <s v="S20_2024_12"/>
    <x v="3"/>
    <s v="Maintenance"/>
    <x v="19"/>
    <s v="Manitrasina"/>
    <x v="1"/>
    <x v="81"/>
    <x v="65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21"/>
  </r>
  <r>
    <x v="41"/>
    <s v="S42_2024_12"/>
    <x v="3"/>
    <s v="Maintenance"/>
    <x v="41"/>
    <s v="Fifaliana"/>
    <x v="1"/>
    <x v="81"/>
    <x v="65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1"/>
  </r>
  <r>
    <x v="42"/>
    <s v="S43_2024_12"/>
    <x v="3"/>
    <s v="Maintenance"/>
    <x v="42"/>
    <s v="Hery"/>
    <x v="1"/>
    <x v="81"/>
    <x v="65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1"/>
  </r>
  <r>
    <x v="32"/>
    <s v="S33_2024_12"/>
    <x v="0"/>
    <s v="Maintenance"/>
    <x v="32"/>
    <s v="Perolin"/>
    <x v="1"/>
    <x v="81"/>
    <x v="65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21"/>
  </r>
  <r>
    <x v="27"/>
    <s v="S28_2024_12"/>
    <x v="2"/>
    <s v="Construction"/>
    <x v="27"/>
    <s v="Rodin"/>
    <x v="1"/>
    <x v="81"/>
    <x v="65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21"/>
  </r>
  <r>
    <x v="45"/>
    <s v="S46_2024_12"/>
    <x v="2"/>
    <s v="Maintenance"/>
    <x v="45"/>
    <s v="Angeliot"/>
    <x v="1"/>
    <x v="81"/>
    <x v="65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21"/>
  </r>
  <r>
    <x v="15"/>
    <s v="S16_2024_12"/>
    <x v="0"/>
    <s v="Maintenance"/>
    <x v="15"/>
    <s v="Victorien"/>
    <x v="7"/>
    <x v="81"/>
    <x v="65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21"/>
  </r>
  <r>
    <x v="25"/>
    <s v="S26_2024_12"/>
    <x v="0"/>
    <s v="Construction"/>
    <x v="25"/>
    <s v="Anicet"/>
    <x v="5"/>
    <x v="81"/>
    <x v="65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21"/>
  </r>
  <r>
    <x v="39"/>
    <s v="S40_2024_12"/>
    <x v="3"/>
    <s v="Maintenance"/>
    <x v="39"/>
    <s v="Nalaina"/>
    <x v="20"/>
    <x v="81"/>
    <x v="65"/>
    <d v="2024-05-27T00:00:00"/>
    <n v="990000"/>
    <n v="1130682"/>
    <n v="1130682"/>
    <n v="0"/>
    <n v="0"/>
    <n v="0"/>
    <n v="0"/>
    <n v="11306.82"/>
    <n v="129375"/>
    <n v="1119375"/>
    <n v="2000"/>
    <m/>
    <n v="1130682"/>
    <n v="169602"/>
    <x v="17"/>
    <x v="16"/>
    <x v="3"/>
    <x v="21"/>
  </r>
  <r>
    <x v="49"/>
    <s v="S50_2024_12"/>
    <x v="1"/>
    <s v="Transversal"/>
    <x v="49"/>
    <s v="Sandrine"/>
    <x v="22"/>
    <x v="81"/>
    <x v="65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21"/>
  </r>
  <r>
    <x v="38"/>
    <s v="S39_2024_12"/>
    <x v="3"/>
    <s v="Maintenance"/>
    <x v="38"/>
    <s v="Lydie"/>
    <x v="19"/>
    <x v="81"/>
    <x v="65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21"/>
  </r>
  <r>
    <x v="53"/>
    <s v="S54_2024_12"/>
    <x v="0"/>
    <s v="Construction"/>
    <x v="53"/>
    <s v="Frida"/>
    <x v="24"/>
    <x v="81"/>
    <x v="65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21"/>
  </r>
  <r>
    <x v="55"/>
    <s v="S56_2024_12"/>
    <x v="2"/>
    <s v="Construction"/>
    <x v="55"/>
    <s v="Irène"/>
    <x v="24"/>
    <x v="81"/>
    <x v="65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21"/>
  </r>
  <r>
    <x v="37"/>
    <s v="S38_2024_12"/>
    <x v="2"/>
    <s v="Maintenance"/>
    <x v="37"/>
    <s v="Christian"/>
    <x v="7"/>
    <x v="81"/>
    <x v="65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21"/>
  </r>
  <r>
    <x v="18"/>
    <s v="S19_2024_12"/>
    <x v="0"/>
    <s v="Maintenance"/>
    <x v="18"/>
    <s v="Faly"/>
    <x v="7"/>
    <x v="81"/>
    <x v="65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21"/>
  </r>
  <r>
    <x v="7"/>
    <s v="S08_2024_12"/>
    <x v="0"/>
    <s v="Transversal"/>
    <x v="7"/>
    <s v="Onja"/>
    <x v="6"/>
    <x v="81"/>
    <x v="65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21"/>
  </r>
  <r>
    <x v="0"/>
    <s v="S01_2024_12"/>
    <x v="0"/>
    <s v="Maintenance"/>
    <x v="0"/>
    <s v="Gaetan"/>
    <x v="0"/>
    <x v="81"/>
    <x v="65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21"/>
  </r>
  <r>
    <x v="12"/>
    <s v="S13_2024_12"/>
    <x v="1"/>
    <s v="Transversal"/>
    <x v="12"/>
    <s v="Herizo"/>
    <x v="10"/>
    <x v="81"/>
    <x v="65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21"/>
  </r>
  <r>
    <x v="29"/>
    <s v="S30_2024_12"/>
    <x v="2"/>
    <s v="Transversal"/>
    <x v="29"/>
    <s v="Marie Jeanne"/>
    <x v="9"/>
    <x v="81"/>
    <x v="65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21"/>
  </r>
  <r>
    <x v="10"/>
    <s v="S11_2024_12"/>
    <x v="0"/>
    <s v="Transversal"/>
    <x v="10"/>
    <s v="Raoul"/>
    <x v="8"/>
    <x v="81"/>
    <x v="65"/>
    <d v="2024-07-24T00:00:00"/>
    <n v="440000"/>
    <n v="395309"/>
    <n v="447475"/>
    <n v="29608"/>
    <n v="22558"/>
    <n v="0"/>
    <n v="0"/>
    <n v="4474.75"/>
    <n v="3000"/>
    <n v="443000"/>
    <n v="6000"/>
    <m/>
    <n v="447475"/>
    <n v="67121"/>
    <x v="1"/>
    <x v="0"/>
    <x v="4"/>
    <x v="21"/>
  </r>
  <r>
    <x v="13"/>
    <s v="S14_2024_12"/>
    <x v="0"/>
    <s v="Transversal"/>
    <x v="13"/>
    <s v="Rene"/>
    <x v="8"/>
    <x v="81"/>
    <x v="65"/>
    <d v="2024-12-19T00:00:00"/>
    <n v="534700"/>
    <n v="395309"/>
    <n v="551589"/>
    <n v="29608"/>
    <n v="22558"/>
    <n v="1"/>
    <n v="59"/>
    <n v="5515.89"/>
    <n v="11411"/>
    <n v="546073"/>
    <n v="8000"/>
    <m/>
    <n v="551589"/>
    <n v="82738"/>
    <x v="1"/>
    <x v="0"/>
    <x v="4"/>
    <x v="21"/>
  </r>
  <r>
    <x v="16"/>
    <s v="S17_2024_12"/>
    <x v="0"/>
    <s v="Transversal"/>
    <x v="16"/>
    <s v="Velonasy"/>
    <x v="8"/>
    <x v="81"/>
    <x v="65"/>
    <d v="2024-12-19T00:00:00"/>
    <n v="513500"/>
    <n v="395309"/>
    <n v="528814"/>
    <n v="29608"/>
    <n v="22558"/>
    <n v="1"/>
    <n v="45"/>
    <n v="5288.14"/>
    <n v="10029"/>
    <n v="523526"/>
    <n v="6000"/>
    <m/>
    <n v="528814"/>
    <n v="79322"/>
    <x v="1"/>
    <x v="0"/>
    <x v="4"/>
    <x v="21"/>
  </r>
  <r>
    <x v="33"/>
    <s v="S34_2024_12"/>
    <x v="1"/>
    <s v="Transversal"/>
    <x v="33"/>
    <s v="Valérie"/>
    <x v="16"/>
    <x v="81"/>
    <x v="65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21"/>
  </r>
  <r>
    <x v="23"/>
    <s v="S24_2024_12"/>
    <x v="2"/>
    <s v="Transversal"/>
    <x v="23"/>
    <s v="Christophe"/>
    <x v="14"/>
    <x v="81"/>
    <x v="65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21"/>
  </r>
  <r>
    <x v="4"/>
    <s v="S05_2024_12"/>
    <x v="0"/>
    <s v="Transversal"/>
    <x v="4"/>
    <s v="Florentin"/>
    <x v="3"/>
    <x v="81"/>
    <x v="65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21"/>
  </r>
  <r>
    <x v="56"/>
    <s v="S59_2024_12"/>
    <x v="2"/>
    <s v="Construction"/>
    <x v="56"/>
    <s v="Niaina"/>
    <x v="25"/>
    <x v="81"/>
    <x v="65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21"/>
  </r>
  <r>
    <x v="58"/>
    <s v="S61_2024_12"/>
    <x v="2"/>
    <s v="Maintenance"/>
    <x v="58"/>
    <s v="Danny"/>
    <x v="1"/>
    <x v="81"/>
    <x v="65"/>
    <d v="2024-12-19T00:00:00"/>
    <n v="225400"/>
    <n v="12817"/>
    <n v="230706"/>
    <n v="0"/>
    <n v="0"/>
    <n v="0"/>
    <n v="0"/>
    <n v="2307.06"/>
    <n v="3000"/>
    <n v="228399"/>
    <n v="2000"/>
    <m/>
    <n v="230706"/>
    <n v="34606"/>
    <x v="30"/>
    <x v="0"/>
    <x v="1"/>
    <x v="21"/>
  </r>
  <r>
    <x v="59"/>
    <s v="S64_2024_12"/>
    <x v="0"/>
    <s v="Maintenance"/>
    <x v="59"/>
    <s v="Syressi"/>
    <x v="1"/>
    <x v="81"/>
    <x v="65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1"/>
  </r>
  <r>
    <x v="31"/>
    <s v="S32_2024_12"/>
    <x v="0"/>
    <s v="Maintenance"/>
    <x v="31"/>
    <s v="Francot"/>
    <x v="1"/>
    <x v="81"/>
    <x v="65"/>
    <d v="2024-12-19T00:00:00"/>
    <n v="217300"/>
    <n v="222492"/>
    <n v="222492"/>
    <n v="0"/>
    <n v="0"/>
    <n v="0"/>
    <n v="0"/>
    <n v="2224.92"/>
    <n v="3000"/>
    <n v="220267"/>
    <n v="2000"/>
    <m/>
    <n v="222492"/>
    <n v="33374"/>
    <x v="10"/>
    <x v="12"/>
    <x v="1"/>
    <x v="21"/>
  </r>
  <r>
    <x v="60"/>
    <s v="S65_2024_12"/>
    <x v="0"/>
    <s v="Maintenance"/>
    <x v="60"/>
    <s v="Stanislas"/>
    <x v="1"/>
    <x v="81"/>
    <x v="65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1"/>
  </r>
  <r>
    <x v="61"/>
    <s v="S67_2024_12"/>
    <x v="2"/>
    <s v="Maintenance"/>
    <x v="61"/>
    <s v="Sandro"/>
    <x v="1"/>
    <x v="81"/>
    <x v="65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21"/>
  </r>
  <r>
    <x v="11"/>
    <s v="S12_2024_12"/>
    <x v="0"/>
    <s v="Transversal"/>
    <x v="11"/>
    <s v="Benedictine"/>
    <x v="9"/>
    <x v="81"/>
    <x v="65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21"/>
  </r>
  <r>
    <x v="62"/>
    <s v="S68_2024_12"/>
    <x v="0"/>
    <s v="Maintenance"/>
    <x v="62"/>
    <s v="Elito"/>
    <x v="1"/>
    <x v="81"/>
    <x v="65"/>
    <d v="2024-11-26T00:00:00"/>
    <n v="350000"/>
    <n v="356566"/>
    <n v="356566"/>
    <n v="0"/>
    <n v="0"/>
    <n v="0"/>
    <n v="0"/>
    <n v="3565.66"/>
    <n v="3000"/>
    <n v="353000"/>
    <n v="4000"/>
    <m/>
    <n v="356566"/>
    <n v="53485"/>
    <x v="33"/>
    <x v="0"/>
    <x v="1"/>
    <x v="21"/>
  </r>
  <r>
    <x v="63"/>
    <s v="S69_2024_12"/>
    <x v="0"/>
    <s v="Maintenance"/>
    <x v="63"/>
    <s v="Pierrot"/>
    <x v="1"/>
    <x v="81"/>
    <x v="65"/>
    <d v="2024-11-26T00:00:00"/>
    <n v="350000"/>
    <n v="356566"/>
    <n v="356566"/>
    <n v="0"/>
    <n v="0"/>
    <n v="0"/>
    <n v="0"/>
    <n v="3565.66"/>
    <n v="3000"/>
    <n v="353000"/>
    <n v="4000"/>
    <m/>
    <n v="356566"/>
    <n v="53485"/>
    <x v="33"/>
    <x v="0"/>
    <x v="1"/>
    <x v="21"/>
  </r>
  <r>
    <x v="64"/>
    <s v="S70_2024_12"/>
    <x v="2"/>
    <s v="Maintenance"/>
    <x v="64"/>
    <s v="Vincent"/>
    <x v="1"/>
    <x v="81"/>
    <x v="65"/>
    <d v="2024-11-26T00:00:00"/>
    <n v="300000"/>
    <n v="306061"/>
    <n v="306061"/>
    <n v="0"/>
    <n v="0"/>
    <n v="0"/>
    <n v="0"/>
    <n v="3060.61"/>
    <n v="3000"/>
    <n v="303000"/>
    <n v="2000"/>
    <m/>
    <n v="306061"/>
    <n v="45909"/>
    <x v="33"/>
    <x v="0"/>
    <x v="1"/>
    <x v="21"/>
  </r>
  <r>
    <x v="65"/>
    <s v="S71_2024_12"/>
    <x v="2"/>
    <s v="Maintenance"/>
    <x v="65"/>
    <s v="Hyacintte  "/>
    <x v="1"/>
    <x v="81"/>
    <x v="65"/>
    <d v="2024-11-26T00:00:00"/>
    <n v="300000"/>
    <n v="306061"/>
    <n v="306061"/>
    <n v="0"/>
    <n v="0"/>
    <n v="0"/>
    <n v="0"/>
    <n v="3060.61"/>
    <n v="3000"/>
    <n v="303000"/>
    <n v="6000"/>
    <m/>
    <n v="306061"/>
    <n v="45909"/>
    <x v="33"/>
    <x v="0"/>
    <x v="1"/>
    <x v="21"/>
  </r>
  <r>
    <x v="9"/>
    <s v="S10_2025_1"/>
    <x v="2"/>
    <s v="Maintenance"/>
    <x v="9"/>
    <s v="Alain"/>
    <x v="7"/>
    <x v="82"/>
    <x v="66"/>
    <d v="2024-05-27T00:00:00"/>
    <n v="600000"/>
    <n v="638258"/>
    <n v="638258"/>
    <n v="0"/>
    <n v="0"/>
    <n v="0"/>
    <n v="0"/>
    <n v="6382.58"/>
    <n v="31875"/>
    <n v="631875"/>
    <n v="2000"/>
    <m/>
    <n v="638258"/>
    <n v="95739"/>
    <x v="1"/>
    <x v="0"/>
    <x v="3"/>
    <x v="22"/>
  </r>
  <r>
    <x v="52"/>
    <s v="S53_2025_1"/>
    <x v="2"/>
    <s v="Maintenance"/>
    <x v="52"/>
    <s v="Ginot"/>
    <x v="1"/>
    <x v="82"/>
    <x v="66"/>
    <d v="2025-01-27T00:00:00"/>
    <n v="270000"/>
    <n v="17232"/>
    <n v="275712"/>
    <n v="0"/>
    <n v="0"/>
    <n v="0"/>
    <n v="0"/>
    <n v="2757.12"/>
    <n v="3000"/>
    <n v="272955"/>
    <n v="2000"/>
    <m/>
    <n v="275712"/>
    <n v="41357"/>
    <x v="24"/>
    <x v="0"/>
    <x v="1"/>
    <x v="22"/>
  </r>
  <r>
    <x v="19"/>
    <s v="S20_2025_1"/>
    <x v="3"/>
    <s v="Maintenance"/>
    <x v="19"/>
    <s v="Manitrasina"/>
    <x v="1"/>
    <x v="82"/>
    <x v="66"/>
    <d v="2024-06-24T00:00:00"/>
    <n v="400000"/>
    <n v="407071"/>
    <n v="407071"/>
    <n v="0"/>
    <n v="0"/>
    <n v="0"/>
    <n v="0"/>
    <n v="4070.71"/>
    <n v="3000"/>
    <n v="403000"/>
    <n v="4000"/>
    <m/>
    <n v="407071"/>
    <n v="61061"/>
    <x v="5"/>
    <x v="0"/>
    <x v="1"/>
    <x v="22"/>
  </r>
  <r>
    <x v="41"/>
    <s v="S42_2025_1"/>
    <x v="3"/>
    <s v="Maintenance"/>
    <x v="41"/>
    <s v="Fifaliana"/>
    <x v="1"/>
    <x v="82"/>
    <x v="66"/>
    <d v="2024-02-26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2"/>
  </r>
  <r>
    <x v="42"/>
    <s v="S43_2025_1"/>
    <x v="3"/>
    <s v="Maintenance"/>
    <x v="42"/>
    <s v="Hery"/>
    <x v="1"/>
    <x v="82"/>
    <x v="66"/>
    <d v="2024-06-24T00:00:00"/>
    <n v="400000"/>
    <n v="407071"/>
    <n v="407071"/>
    <n v="0"/>
    <n v="0"/>
    <n v="0"/>
    <n v="0"/>
    <n v="4070.71"/>
    <n v="3000"/>
    <n v="403000"/>
    <n v="2000"/>
    <m/>
    <n v="407071"/>
    <n v="61061"/>
    <x v="19"/>
    <x v="0"/>
    <x v="1"/>
    <x v="22"/>
  </r>
  <r>
    <x v="32"/>
    <s v="S33_2025_1"/>
    <x v="0"/>
    <s v="Maintenance"/>
    <x v="32"/>
    <s v="Perolin"/>
    <x v="1"/>
    <x v="82"/>
    <x v="66"/>
    <d v="2024-05-27T00:00:00"/>
    <n v="410000"/>
    <n v="417172"/>
    <n v="417172"/>
    <n v="0"/>
    <n v="0"/>
    <n v="0"/>
    <n v="0"/>
    <n v="4171.72"/>
    <n v="3000"/>
    <n v="413000"/>
    <n v="2000"/>
    <m/>
    <n v="417172"/>
    <n v="62576"/>
    <x v="11"/>
    <x v="0"/>
    <x v="1"/>
    <x v="22"/>
  </r>
  <r>
    <x v="27"/>
    <s v="S28_2025_1"/>
    <x v="2"/>
    <s v="Construction"/>
    <x v="27"/>
    <s v="Rodin"/>
    <x v="1"/>
    <x v="82"/>
    <x v="66"/>
    <d v="2024-05-27T00:00:00"/>
    <n v="490000"/>
    <n v="505644"/>
    <n v="505644"/>
    <n v="0"/>
    <n v="0"/>
    <n v="0"/>
    <n v="0"/>
    <n v="5056.4399999999996"/>
    <n v="10588"/>
    <n v="500588"/>
    <n v="2000"/>
    <m/>
    <n v="505644"/>
    <n v="75847"/>
    <x v="8"/>
    <x v="0"/>
    <x v="1"/>
    <x v="22"/>
  </r>
  <r>
    <x v="45"/>
    <s v="S46_2025_1"/>
    <x v="2"/>
    <s v="Maintenance"/>
    <x v="45"/>
    <s v="Angeliot"/>
    <x v="1"/>
    <x v="82"/>
    <x v="66"/>
    <d v="2024-05-27T00:00:00"/>
    <n v="400000"/>
    <n v="407071"/>
    <n v="407071"/>
    <n v="0"/>
    <n v="0"/>
    <n v="0"/>
    <n v="0"/>
    <n v="4070.71"/>
    <n v="3000"/>
    <n v="403000"/>
    <n v="2000"/>
    <m/>
    <n v="407071"/>
    <n v="61061"/>
    <x v="20"/>
    <x v="0"/>
    <x v="1"/>
    <x v="22"/>
  </r>
  <r>
    <x v="15"/>
    <s v="S16_2025_1"/>
    <x v="0"/>
    <s v="Maintenance"/>
    <x v="15"/>
    <s v="Victorien"/>
    <x v="7"/>
    <x v="82"/>
    <x v="66"/>
    <d v="2024-05-27T00:00:00"/>
    <n v="650000"/>
    <n v="698864"/>
    <n v="698864"/>
    <n v="0"/>
    <n v="0"/>
    <n v="0"/>
    <n v="0"/>
    <n v="6988.64"/>
    <n v="41875"/>
    <n v="691875"/>
    <n v="4000"/>
    <m/>
    <n v="698864"/>
    <n v="104830"/>
    <x v="1"/>
    <x v="0"/>
    <x v="3"/>
    <x v="22"/>
  </r>
  <r>
    <x v="25"/>
    <s v="S26_2025_1"/>
    <x v="0"/>
    <s v="Construction"/>
    <x v="25"/>
    <s v="Anicet"/>
    <x v="5"/>
    <x v="82"/>
    <x v="66"/>
    <d v="2024-05-27T00:00:00"/>
    <n v="500000"/>
    <n v="515152"/>
    <n v="515152"/>
    <n v="0"/>
    <n v="0"/>
    <n v="0"/>
    <n v="0"/>
    <n v="5151.5200000000004"/>
    <n v="10000"/>
    <n v="510000"/>
    <n v="4000"/>
    <m/>
    <n v="515152"/>
    <n v="77273"/>
    <x v="8"/>
    <x v="0"/>
    <x v="1"/>
    <x v="22"/>
  </r>
  <r>
    <x v="49"/>
    <s v="S50_2025_1"/>
    <x v="1"/>
    <s v="Transversal"/>
    <x v="49"/>
    <s v="Sandrine"/>
    <x v="22"/>
    <x v="82"/>
    <x v="66"/>
    <d v="2024-05-27T00:00:00"/>
    <n v="700000"/>
    <n v="764520"/>
    <n v="764520"/>
    <n v="0"/>
    <n v="0"/>
    <n v="0"/>
    <n v="0"/>
    <n v="7645.2"/>
    <n v="56875"/>
    <n v="756875"/>
    <n v="2000"/>
    <m/>
    <n v="764520"/>
    <n v="114678"/>
    <x v="21"/>
    <x v="0"/>
    <x v="1"/>
    <x v="22"/>
  </r>
  <r>
    <x v="38"/>
    <s v="S39_2025_1"/>
    <x v="3"/>
    <s v="Maintenance"/>
    <x v="38"/>
    <s v="Lydie"/>
    <x v="19"/>
    <x v="82"/>
    <x v="66"/>
    <d v="2024-05-27T00:00:00"/>
    <n v="990000"/>
    <n v="1133207"/>
    <n v="1133207"/>
    <n v="0"/>
    <n v="0"/>
    <n v="0"/>
    <n v="0"/>
    <n v="11332.07"/>
    <n v="131875"/>
    <n v="1121875"/>
    <n v="0"/>
    <m/>
    <n v="1133207"/>
    <n v="169981"/>
    <x v="17"/>
    <x v="0"/>
    <x v="3"/>
    <x v="22"/>
  </r>
  <r>
    <x v="53"/>
    <s v="S54_2025_1"/>
    <x v="0"/>
    <s v="Construction"/>
    <x v="53"/>
    <s v="Frida"/>
    <x v="24"/>
    <x v="82"/>
    <x v="66"/>
    <d v="2024-01-30T00:00:00"/>
    <n v="400000"/>
    <n v="407071"/>
    <n v="407071"/>
    <n v="0"/>
    <n v="0"/>
    <n v="0"/>
    <n v="0"/>
    <n v="4070.71"/>
    <n v="3000"/>
    <n v="403000"/>
    <n v="6000"/>
    <m/>
    <n v="407071"/>
    <n v="61061"/>
    <x v="25"/>
    <x v="0"/>
    <x v="1"/>
    <x v="22"/>
  </r>
  <r>
    <x v="55"/>
    <s v="S56_2025_1"/>
    <x v="2"/>
    <s v="Construction"/>
    <x v="55"/>
    <s v="Irène"/>
    <x v="24"/>
    <x v="82"/>
    <x v="66"/>
    <d v="2024-01-30T00:00:00"/>
    <n v="400000"/>
    <n v="407071"/>
    <n v="407071"/>
    <n v="0"/>
    <n v="0"/>
    <n v="0"/>
    <n v="0"/>
    <n v="4070.71"/>
    <n v="3000"/>
    <n v="403000"/>
    <n v="2000"/>
    <m/>
    <n v="407071"/>
    <n v="61061"/>
    <x v="27"/>
    <x v="0"/>
    <x v="1"/>
    <x v="22"/>
  </r>
  <r>
    <x v="37"/>
    <s v="S38_2025_1"/>
    <x v="2"/>
    <s v="Maintenance"/>
    <x v="37"/>
    <s v="Christian"/>
    <x v="7"/>
    <x v="82"/>
    <x v="66"/>
    <d v="2024-05-27T00:00:00"/>
    <n v="735000"/>
    <n v="808712"/>
    <n v="808712"/>
    <n v="0"/>
    <n v="0"/>
    <n v="0"/>
    <n v="0"/>
    <n v="8087.12"/>
    <n v="65625"/>
    <n v="800625"/>
    <n v="2000"/>
    <m/>
    <n v="808712"/>
    <n v="121307"/>
    <x v="16"/>
    <x v="0"/>
    <x v="3"/>
    <x v="22"/>
  </r>
  <r>
    <x v="18"/>
    <s v="S19_2025_1"/>
    <x v="0"/>
    <s v="Maintenance"/>
    <x v="18"/>
    <s v="Faly"/>
    <x v="7"/>
    <x v="82"/>
    <x v="66"/>
    <d v="2024-05-27T00:00:00"/>
    <n v="950000"/>
    <n v="1080177"/>
    <n v="1080177"/>
    <n v="0"/>
    <n v="0"/>
    <n v="0"/>
    <n v="0"/>
    <n v="10801.77"/>
    <n v="119375"/>
    <n v="1069375"/>
    <n v="2000"/>
    <m/>
    <n v="1080177"/>
    <n v="162027"/>
    <x v="4"/>
    <x v="0"/>
    <x v="3"/>
    <x v="22"/>
  </r>
  <r>
    <x v="7"/>
    <s v="S08_2025_1"/>
    <x v="0"/>
    <s v="Transversal"/>
    <x v="7"/>
    <s v="Onja"/>
    <x v="6"/>
    <x v="82"/>
    <x v="66"/>
    <d v="2024-01-30T00:00:00"/>
    <n v="1200000"/>
    <n v="1398359"/>
    <n v="1398359"/>
    <n v="0"/>
    <n v="0"/>
    <n v="0"/>
    <n v="0"/>
    <n v="13983.59"/>
    <n v="184375"/>
    <n v="1384375"/>
    <n v="0"/>
    <m/>
    <n v="1398359"/>
    <n v="209754"/>
    <x v="2"/>
    <x v="0"/>
    <x v="0"/>
    <x v="22"/>
  </r>
  <r>
    <x v="0"/>
    <s v="S01_2025_1"/>
    <x v="0"/>
    <s v="Maintenance"/>
    <x v="0"/>
    <s v="Gaetan"/>
    <x v="0"/>
    <x v="82"/>
    <x v="66"/>
    <d v="2024-05-27T00:00:00"/>
    <n v="1330000"/>
    <n v="1554924"/>
    <n v="1554924"/>
    <n v="0"/>
    <n v="0"/>
    <n v="0"/>
    <n v="0"/>
    <n v="15549.24"/>
    <n v="209375"/>
    <n v="1539375"/>
    <n v="6000"/>
    <m/>
    <n v="1554924"/>
    <n v="233239"/>
    <x v="0"/>
    <x v="0"/>
    <x v="0"/>
    <x v="22"/>
  </r>
  <r>
    <x v="12"/>
    <s v="S13_2025_1"/>
    <x v="1"/>
    <s v="Transversal"/>
    <x v="12"/>
    <s v="Herizo"/>
    <x v="10"/>
    <x v="82"/>
    <x v="66"/>
    <d v="2024-04-26T00:00:00"/>
    <n v="3400000"/>
    <n v="4148479"/>
    <n v="4148479"/>
    <n v="0"/>
    <n v="0"/>
    <n v="0"/>
    <n v="0"/>
    <n v="21014.400000000001"/>
    <n v="728993"/>
    <n v="4127465"/>
    <n v="4000"/>
    <m/>
    <n v="1904000"/>
    <n v="315216"/>
    <x v="1"/>
    <x v="0"/>
    <x v="0"/>
    <x v="22"/>
  </r>
  <r>
    <x v="29"/>
    <s v="S30_2025_1"/>
    <x v="2"/>
    <s v="Transversal"/>
    <x v="29"/>
    <s v="Marie Jeanne"/>
    <x v="9"/>
    <x v="82"/>
    <x v="66"/>
    <d v="2024-05-27T00:00:00"/>
    <n v="130000"/>
    <n v="134343"/>
    <n v="134343"/>
    <n v="0"/>
    <n v="0"/>
    <n v="0"/>
    <n v="0"/>
    <n v="1343.43"/>
    <n v="3000"/>
    <n v="133000"/>
    <n v="6000"/>
    <m/>
    <n v="134343"/>
    <n v="20151"/>
    <x v="8"/>
    <x v="0"/>
    <x v="5"/>
    <x v="22"/>
  </r>
  <r>
    <x v="10"/>
    <s v="S11_2025_1"/>
    <x v="0"/>
    <s v="Transversal"/>
    <x v="10"/>
    <s v="Raoul"/>
    <x v="8"/>
    <x v="82"/>
    <x v="66"/>
    <d v="2025-01-27T00:00:00"/>
    <n v="499800"/>
    <n v="395309"/>
    <n v="512547"/>
    <n v="29608"/>
    <n v="22558"/>
    <n v="1"/>
    <n v="35"/>
    <n v="5125.47"/>
    <n v="7613"/>
    <n v="507422"/>
    <n v="6000"/>
    <m/>
    <n v="512547"/>
    <n v="76882"/>
    <x v="1"/>
    <x v="0"/>
    <x v="4"/>
    <x v="22"/>
  </r>
  <r>
    <x v="13"/>
    <s v="S14_2025_1"/>
    <x v="0"/>
    <s v="Transversal"/>
    <x v="13"/>
    <s v="Rene"/>
    <x v="8"/>
    <x v="82"/>
    <x v="66"/>
    <d v="2025-01-27T00:00:00"/>
    <n v="489100"/>
    <n v="395309"/>
    <n v="497905"/>
    <n v="29608"/>
    <n v="22558"/>
    <n v="0"/>
    <n v="31"/>
    <n v="4979.05"/>
    <n v="3793"/>
    <n v="492926"/>
    <n v="8000"/>
    <m/>
    <n v="497905"/>
    <n v="74686"/>
    <x v="1"/>
    <x v="0"/>
    <x v="4"/>
    <x v="22"/>
  </r>
  <r>
    <x v="16"/>
    <s v="S17_2025_1"/>
    <x v="0"/>
    <s v="Transversal"/>
    <x v="16"/>
    <s v="Velonasy"/>
    <x v="8"/>
    <x v="82"/>
    <x v="66"/>
    <d v="2025-01-27T00:00:00"/>
    <n v="440000"/>
    <n v="395309"/>
    <n v="447475"/>
    <n v="29608"/>
    <n v="22558"/>
    <n v="0"/>
    <n v="0"/>
    <n v="4474.75"/>
    <n v="3000"/>
    <n v="443000"/>
    <n v="6000"/>
    <m/>
    <n v="447475"/>
    <n v="67121"/>
    <x v="1"/>
    <x v="0"/>
    <x v="4"/>
    <x v="22"/>
  </r>
  <r>
    <x v="33"/>
    <s v="S34_2025_1"/>
    <x v="1"/>
    <s v="Transversal"/>
    <x v="33"/>
    <s v="Valérie"/>
    <x v="16"/>
    <x v="82"/>
    <x v="66"/>
    <d v="2024-05-27T00:00:00"/>
    <n v="1000000"/>
    <n v="1138258"/>
    <n v="1138258"/>
    <n v="0"/>
    <n v="0"/>
    <n v="0"/>
    <n v="0"/>
    <n v="11382.58"/>
    <n v="126875"/>
    <n v="1126875"/>
    <n v="6000"/>
    <m/>
    <n v="1138258"/>
    <n v="170739"/>
    <x v="12"/>
    <x v="0"/>
    <x v="0"/>
    <x v="22"/>
  </r>
  <r>
    <x v="23"/>
    <s v="S24_2025_1"/>
    <x v="2"/>
    <s v="Transversal"/>
    <x v="23"/>
    <s v="Christophe"/>
    <x v="14"/>
    <x v="82"/>
    <x v="66"/>
    <d v="2024-05-27T00:00:00"/>
    <n v="770000"/>
    <n v="852904"/>
    <n v="852904"/>
    <n v="0"/>
    <n v="0"/>
    <n v="0"/>
    <n v="0"/>
    <n v="8529.0400000000009"/>
    <n v="74375"/>
    <n v="844375"/>
    <n v="2000"/>
    <m/>
    <n v="852904"/>
    <n v="127936"/>
    <x v="8"/>
    <x v="0"/>
    <x v="3"/>
    <x v="22"/>
  </r>
  <r>
    <x v="4"/>
    <s v="S05_2025_1"/>
    <x v="0"/>
    <s v="Transversal"/>
    <x v="4"/>
    <s v="Florentin"/>
    <x v="3"/>
    <x v="82"/>
    <x v="66"/>
    <d v="2024-05-27T00:00:00"/>
    <n v="680000"/>
    <n v="736742"/>
    <n v="736742"/>
    <n v="0"/>
    <n v="0"/>
    <n v="0"/>
    <n v="0"/>
    <n v="7367.42"/>
    <n v="49375"/>
    <n v="729375"/>
    <n v="4000"/>
    <m/>
    <n v="736742"/>
    <n v="110511"/>
    <x v="1"/>
    <x v="0"/>
    <x v="1"/>
    <x v="22"/>
  </r>
  <r>
    <x v="56"/>
    <s v="S59_2025_1"/>
    <x v="2"/>
    <s v="Construction"/>
    <x v="56"/>
    <s v="Niaina"/>
    <x v="25"/>
    <x v="82"/>
    <x v="66"/>
    <d v="2024-01-30T00:00:00"/>
    <n v="2000000"/>
    <n v="2403479"/>
    <n v="2403479"/>
    <n v="0"/>
    <n v="0"/>
    <n v="0"/>
    <n v="0"/>
    <n v="21014.400000000001"/>
    <n v="383993"/>
    <n v="2382465"/>
    <n v="0"/>
    <m/>
    <n v="1904000"/>
    <n v="315216"/>
    <x v="28"/>
    <x v="0"/>
    <x v="0"/>
    <x v="22"/>
  </r>
  <r>
    <x v="58"/>
    <s v="S61_2025_1"/>
    <x v="2"/>
    <s v="Maintenance"/>
    <x v="58"/>
    <s v="Danny"/>
    <x v="1"/>
    <x v="82"/>
    <x v="66"/>
    <d v="2025-01-27T00:00:00"/>
    <n v="238100"/>
    <n v="12817"/>
    <n v="243523"/>
    <n v="0"/>
    <n v="0"/>
    <n v="0"/>
    <n v="0"/>
    <n v="2435.23"/>
    <n v="3000"/>
    <n v="241088"/>
    <n v="2000"/>
    <m/>
    <n v="243523"/>
    <n v="36528"/>
    <x v="30"/>
    <x v="0"/>
    <x v="1"/>
    <x v="22"/>
  </r>
  <r>
    <x v="59"/>
    <s v="S64_2025_1"/>
    <x v="0"/>
    <s v="Maintenance"/>
    <x v="59"/>
    <s v="Syressi"/>
    <x v="1"/>
    <x v="82"/>
    <x v="66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2"/>
  </r>
  <r>
    <x v="60"/>
    <s v="S65_2025_1"/>
    <x v="0"/>
    <s v="Maintenance"/>
    <x v="60"/>
    <s v="Stanislas"/>
    <x v="1"/>
    <x v="82"/>
    <x v="66"/>
    <d v="2024-02-26T00:00:00"/>
    <n v="350000"/>
    <n v="356566"/>
    <n v="356566"/>
    <n v="0"/>
    <n v="0"/>
    <n v="0"/>
    <n v="0"/>
    <n v="3565.66"/>
    <n v="3000"/>
    <n v="353000"/>
    <n v="2000"/>
    <m/>
    <n v="356566"/>
    <n v="53485"/>
    <x v="31"/>
    <x v="0"/>
    <x v="1"/>
    <x v="22"/>
  </r>
  <r>
    <x v="61"/>
    <s v="S67_2025_1"/>
    <x v="2"/>
    <s v="Maintenance"/>
    <x v="61"/>
    <s v="Sandro"/>
    <x v="1"/>
    <x v="82"/>
    <x v="66"/>
    <d v="2024-03-01T00:00:00"/>
    <n v="350000"/>
    <n v="356566"/>
    <n v="356566"/>
    <n v="0"/>
    <n v="0"/>
    <n v="0"/>
    <n v="0"/>
    <n v="3565.66"/>
    <n v="3000"/>
    <n v="353000"/>
    <n v="2000"/>
    <m/>
    <n v="356566"/>
    <n v="53485"/>
    <x v="32"/>
    <x v="0"/>
    <x v="1"/>
    <x v="22"/>
  </r>
  <r>
    <x v="11"/>
    <s v="S12_2025_1"/>
    <x v="0"/>
    <s v="Transversal"/>
    <x v="11"/>
    <s v="Benedictine"/>
    <x v="9"/>
    <x v="82"/>
    <x v="66"/>
    <d v="2024-05-27T00:00:00"/>
    <n v="120000"/>
    <n v="124242"/>
    <n v="124242"/>
    <n v="0"/>
    <n v="0"/>
    <n v="0"/>
    <n v="0"/>
    <n v="1242.42"/>
    <n v="3000"/>
    <n v="123000"/>
    <n v="6000"/>
    <m/>
    <n v="124242"/>
    <n v="18636"/>
    <x v="1"/>
    <x v="0"/>
    <x v="5"/>
    <x v="22"/>
  </r>
  <r>
    <x v="62"/>
    <s v="S68_2025_1"/>
    <x v="0"/>
    <s v="Maintenance"/>
    <x v="62"/>
    <s v="Elito"/>
    <x v="1"/>
    <x v="82"/>
    <x v="66"/>
    <d v="2024-11-26T00:00:00"/>
    <n v="350000"/>
    <n v="356566"/>
    <n v="356566"/>
    <n v="0"/>
    <n v="0"/>
    <n v="0"/>
    <n v="0"/>
    <n v="3565.66"/>
    <n v="3000"/>
    <n v="353000"/>
    <n v="4000"/>
    <m/>
    <n v="356566"/>
    <n v="53485"/>
    <x v="33"/>
    <x v="0"/>
    <x v="1"/>
    <x v="22"/>
  </r>
  <r>
    <x v="63"/>
    <s v="S69_2025_1"/>
    <x v="0"/>
    <s v="Maintenance"/>
    <x v="63"/>
    <s v="Pierrot"/>
    <x v="1"/>
    <x v="82"/>
    <x v="66"/>
    <d v="2024-11-26T00:00:00"/>
    <n v="350000"/>
    <n v="356566"/>
    <n v="356566"/>
    <n v="0"/>
    <n v="0"/>
    <n v="0"/>
    <n v="0"/>
    <n v="3565.66"/>
    <n v="3000"/>
    <n v="353000"/>
    <n v="4000"/>
    <m/>
    <n v="356566"/>
    <n v="53485"/>
    <x v="33"/>
    <x v="0"/>
    <x v="1"/>
    <x v="22"/>
  </r>
  <r>
    <x v="64"/>
    <s v="S70_2025_1"/>
    <x v="2"/>
    <s v="Maintenance"/>
    <x v="64"/>
    <s v="Vincent"/>
    <x v="1"/>
    <x v="82"/>
    <x v="66"/>
    <d v="2024-11-26T00:00:00"/>
    <n v="300000"/>
    <n v="306061"/>
    <n v="306061"/>
    <n v="0"/>
    <n v="0"/>
    <n v="0"/>
    <n v="0"/>
    <n v="3060.61"/>
    <n v="3000"/>
    <n v="303000"/>
    <n v="2000"/>
    <m/>
    <n v="306061"/>
    <n v="45909"/>
    <x v="33"/>
    <x v="0"/>
    <x v="1"/>
    <x v="22"/>
  </r>
  <r>
    <x v="65"/>
    <s v="S71_2025_1"/>
    <x v="2"/>
    <s v="Maintenance"/>
    <x v="65"/>
    <s v="Hyacintte  "/>
    <x v="1"/>
    <x v="82"/>
    <x v="66"/>
    <d v="2024-11-26T00:00:00"/>
    <n v="300000"/>
    <n v="306061"/>
    <n v="306061"/>
    <n v="0"/>
    <n v="0"/>
    <n v="0"/>
    <n v="0"/>
    <n v="3060.61"/>
    <n v="3000"/>
    <n v="303000"/>
    <n v="6000"/>
    <m/>
    <n v="306061"/>
    <n v="45909"/>
    <x v="33"/>
    <x v="0"/>
    <x v="1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481C6-A3FD-484A-9AEC-39EFAAD729E1}" name="Tableau croisé dynamique1" cacheId="1" applyNumberFormats="0" applyBorderFormats="0" applyFontFormats="0" applyPatternFormats="0" applyAlignmentFormats="0" applyWidthHeightFormats="1" dataCaption="Valeurs" updatedVersion="8" minRefreshableVersion="5" showDrill="0" itemPrintTitles="1" createdVersion="7" indent="0" compact="0" compactData="0" multipleFieldFilters="0">
  <location ref="A4:E41" firstHeaderRow="0" firstDataRow="1" firstDataCol="2"/>
  <pivotFields count="33">
    <pivotField compact="0" outline="0" showAll="0" defaultSubtota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2"/>
        <item x="3"/>
        <item x="28"/>
        <item x="29"/>
        <item x="23"/>
        <item x="30"/>
        <item x="50"/>
        <item x="4"/>
        <item x="41"/>
        <item x="38"/>
        <item x="22"/>
        <item x="25"/>
        <item x="42"/>
        <item x="21"/>
        <item x="48"/>
        <item x="5"/>
        <item x="32"/>
        <item x="0"/>
        <item x="6"/>
        <item x="19"/>
        <item x="7"/>
        <item x="34"/>
        <item x="8"/>
        <item x="43"/>
        <item x="35"/>
        <item x="36"/>
        <item x="39"/>
        <item x="24"/>
        <item x="18"/>
        <item x="9"/>
        <item x="10"/>
        <item x="26"/>
        <item x="11"/>
        <item x="44"/>
        <item x="1"/>
        <item x="17"/>
        <item x="12"/>
        <item x="13"/>
        <item x="14"/>
        <item x="33"/>
        <item x="49"/>
        <item x="47"/>
        <item x="20"/>
        <item x="27"/>
        <item x="51"/>
        <item x="31"/>
        <item x="37"/>
        <item x="15"/>
        <item x="16"/>
        <item x="46"/>
        <item x="45"/>
        <item x="40"/>
        <item x="52"/>
        <item x="53"/>
        <item x="54"/>
        <item m="1" x="72"/>
        <item m="1" x="69"/>
        <item x="55"/>
        <item x="56"/>
        <item m="1" x="71"/>
        <item x="57"/>
        <item x="58"/>
        <item x="59"/>
        <item x="60"/>
        <item m="1" x="70"/>
        <item x="61"/>
        <item m="1" x="68"/>
        <item x="62"/>
        <item x="63"/>
        <item x="64"/>
        <item m="1" x="67"/>
        <item m="1" x="66"/>
        <item x="65"/>
        <item t="default"/>
      </items>
    </pivotField>
    <pivotField compact="0" outline="0" showAll="0"/>
    <pivotField axis="axisRow" compact="0" outline="0" showAll="0" defaultSubtotal="0">
      <items count="32">
        <item x="15"/>
        <item x="1"/>
        <item x="5"/>
        <item x="12"/>
        <item x="23"/>
        <item x="20"/>
        <item x="22"/>
        <item x="18"/>
        <item x="19"/>
        <item x="17"/>
        <item m="1" x="28"/>
        <item x="21"/>
        <item x="11"/>
        <item x="0"/>
        <item m="1" x="27"/>
        <item x="2"/>
        <item x="9"/>
        <item x="8"/>
        <item x="4"/>
        <item x="16"/>
        <item x="13"/>
        <item m="1" x="30"/>
        <item m="1" x="29"/>
        <item x="3"/>
        <item x="24"/>
        <item m="1" x="31"/>
        <item x="6"/>
        <item x="25"/>
        <item m="1" x="26"/>
        <item x="7"/>
        <item x="10"/>
        <item x="14"/>
      </items>
    </pivotField>
    <pivotField compact="0" numFmtId="14" outline="0" showAll="0">
      <items count="84">
        <item x="0"/>
        <item x="1"/>
        <item x="3"/>
        <item x="2"/>
        <item x="4"/>
        <item x="5"/>
        <item x="6"/>
        <item x="7"/>
        <item x="8"/>
        <item x="11"/>
        <item x="9"/>
        <item x="10"/>
        <item x="12"/>
        <item x="13"/>
        <item x="14"/>
        <item x="15"/>
        <item x="16"/>
        <item x="17"/>
        <item x="18"/>
        <item x="19"/>
        <item x="21"/>
        <item x="20"/>
        <item x="23"/>
        <item x="24"/>
        <item x="22"/>
        <item x="25"/>
        <item x="26"/>
        <item x="27"/>
        <item x="28"/>
        <item x="29"/>
        <item x="30"/>
        <item x="32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48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4" outline="0" showAll="0"/>
    <pivotField compact="0" outline="0" showAll="0"/>
    <pivotField compact="0" outline="0" showAll="0"/>
    <pivotField compact="0" numFmtId="166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6"/>
    <field x="4"/>
  </rowFields>
  <rowItems count="37">
    <i>
      <x v="1"/>
      <x v="8"/>
    </i>
    <i r="1">
      <x v="12"/>
    </i>
    <i r="1">
      <x v="16"/>
    </i>
    <i r="1">
      <x v="19"/>
    </i>
    <i r="1">
      <x v="43"/>
    </i>
    <i r="1">
      <x v="50"/>
    </i>
    <i r="1">
      <x v="52"/>
    </i>
    <i r="1">
      <x v="61"/>
    </i>
    <i r="1">
      <x v="62"/>
    </i>
    <i r="1">
      <x v="63"/>
    </i>
    <i r="1">
      <x v="65"/>
    </i>
    <i r="1">
      <x v="67"/>
    </i>
    <i r="1">
      <x v="68"/>
    </i>
    <i r="1">
      <x v="69"/>
    </i>
    <i r="1">
      <x v="72"/>
    </i>
    <i>
      <x v="2"/>
      <x v="11"/>
    </i>
    <i>
      <x v="6"/>
      <x v="40"/>
    </i>
    <i>
      <x v="8"/>
      <x v="9"/>
    </i>
    <i>
      <x v="13"/>
      <x v="17"/>
    </i>
    <i>
      <x v="16"/>
      <x v="3"/>
    </i>
    <i r="1">
      <x v="32"/>
    </i>
    <i>
      <x v="17"/>
      <x v="30"/>
    </i>
    <i r="1">
      <x v="37"/>
    </i>
    <i r="1">
      <x v="48"/>
    </i>
    <i>
      <x v="19"/>
      <x v="39"/>
    </i>
    <i>
      <x v="23"/>
      <x v="7"/>
    </i>
    <i>
      <x v="24"/>
      <x v="53"/>
    </i>
    <i r="1">
      <x v="57"/>
    </i>
    <i>
      <x v="26"/>
      <x v="20"/>
    </i>
    <i>
      <x v="27"/>
      <x v="58"/>
    </i>
    <i>
      <x v="29"/>
      <x v="28"/>
    </i>
    <i r="1">
      <x v="29"/>
    </i>
    <i r="1">
      <x v="46"/>
    </i>
    <i r="1">
      <x v="47"/>
    </i>
    <i>
      <x v="30"/>
      <x v="36"/>
    </i>
    <i>
      <x v="31"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Salaire brut total" fld="12" baseField="4" baseItem="0" numFmtId="3"/>
    <dataField name=" Base imposable" fld="19" baseField="2" baseItem="0" numFmtId="3"/>
    <dataField name=" IRSA" fld="18" baseField="4" baseItem="0" numFmtId="3"/>
  </dataFields>
  <pivotTableStyleInfo name="PivotStyleLight16" showRowHeaders="0" showColHeaders="1" showRowStripes="0" showColStripes="0" showLastColumn="1"/>
  <filters count="1">
    <filter fld="8" type="dateBetween" evalOrder="-1" id="890" name="Mois paiement">
      <autoFilter ref="A1">
        <filterColumn colId="0">
          <customFilters and="1">
            <customFilter operator="greaterThanOrEqual" val="45658"/>
            <customFilter operator="lessThanOrEqual" val="4568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53C2D-DC55-4F92-8E3E-5D380FEE498A}" name="Tableau croisé dynamique2" cacheId="1" applyNumberFormats="0" applyBorderFormats="0" applyFontFormats="0" applyPatternFormats="0" applyAlignmentFormats="0" applyWidthHeightFormats="1" dataCaption="Valeurs" updatedVersion="8" minRefreshableVersion="5" showDrill="0" itemPrintTitles="1" createdVersion="7" indent="0" compact="0" compactData="0" multipleFieldFilters="0">
  <location ref="L4:L6" firstHeaderRow="1" firstDataRow="1" firstDataCol="1"/>
  <pivotFields count="33"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numFmtId="14" outline="0" showAll="0">
      <items count="84">
        <item x="0"/>
        <item x="1"/>
        <item x="3"/>
        <item x="2"/>
        <item x="4"/>
        <item x="5"/>
        <item x="6"/>
        <item x="7"/>
        <item x="8"/>
        <item x="11"/>
        <item x="9"/>
        <item x="10"/>
        <item x="12"/>
        <item x="13"/>
        <item x="14"/>
        <item x="15"/>
        <item x="16"/>
        <item x="17"/>
        <item x="18"/>
        <item x="19"/>
        <item x="21"/>
        <item x="20"/>
        <item x="23"/>
        <item x="24"/>
        <item x="22"/>
        <item x="25"/>
        <item x="26"/>
        <item x="27"/>
        <item x="28"/>
        <item x="29"/>
        <item x="30"/>
        <item x="32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48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numFmtId="14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4" outline="0" showAll="0"/>
    <pivotField compact="0" outline="0" showAll="0"/>
    <pivotField compact="0" outline="0" showAll="0"/>
    <pivotField compact="0" numFmtId="166" outline="0" showAll="0"/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compact="0" outline="0" showAll="0">
      <items count="10">
        <item sd="0" x="0"/>
        <item sd="0" x="1"/>
        <item sd="0" x="2"/>
        <item sd="0" x="3"/>
        <item sd="0" x="4"/>
        <item sd="0" x="5"/>
        <item sd="0" x="6"/>
        <item x="7"/>
        <item x="8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compact="0" outline="0" showAll="0">
      <items count="10">
        <item sd="0" x="0"/>
        <item sd="0" x="1"/>
        <item sd="0" x="2"/>
        <item sd="0" x="3"/>
        <item sd="0" x="4"/>
        <item sd="0" x="5"/>
        <item sd="0" x="6"/>
        <item x="7"/>
        <item x="8"/>
        <item t="default"/>
      </items>
    </pivotField>
  </pivotFields>
  <rowFields count="1">
    <field x="7"/>
  </rowFields>
  <rowItems count="2">
    <i>
      <x v="82"/>
    </i>
    <i t="grand">
      <x/>
    </i>
  </rowItems>
  <colItems count="1">
    <i/>
  </colItems>
  <pivotTableStyleInfo name="PivotStyleLight16" showRowHeaders="0" showColHeaders="1" showRowStripes="0" showColStripes="0" showLastColumn="1"/>
  <filters count="1">
    <filter fld="8" type="dateBetween" evalOrder="-1" id="890" name="Mois paiement">
      <autoFilter ref="A1">
        <filterColumn colId="0">
          <customFilters and="1">
            <customFilter operator="greaterThanOrEqual" val="45658"/>
            <customFilter operator="lessThanOrEqual" val="4568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50FFB-F6ED-42C2-8ACE-13ACA1B4991D}" name="Tableau croisé dynamique1" cacheId="1" applyNumberFormats="0" applyBorderFormats="0" applyFontFormats="0" applyPatternFormats="0" applyAlignmentFormats="0" applyWidthHeightFormats="1" dataCaption="Valeurs" updatedVersion="8" minRefreshableVersion="5" showDrill="0" itemPrintTitles="1" createdVersion="8" indent="0" compact="0" compactData="0" multipleFieldFilters="0">
  <location ref="A4:I71" firstHeaderRow="0" firstDataRow="1" firstDataCol="6"/>
  <pivotFields count="33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3"/>
        <item x="1"/>
        <item x="0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3">
        <item x="2"/>
        <item x="3"/>
        <item x="56"/>
        <item x="28"/>
        <item x="29"/>
        <item x="23"/>
        <item x="30"/>
        <item x="50"/>
        <item x="4"/>
        <item x="41"/>
        <item x="38"/>
        <item x="22"/>
        <item x="25"/>
        <item x="42"/>
        <item x="21"/>
        <item x="48"/>
        <item x="5"/>
        <item x="32"/>
        <item x="0"/>
        <item x="6"/>
        <item x="58"/>
        <item x="19"/>
        <item x="7"/>
        <item x="57"/>
        <item x="34"/>
        <item x="8"/>
        <item x="43"/>
        <item x="35"/>
        <item x="36"/>
        <item x="39"/>
        <item x="24"/>
        <item x="18"/>
        <item x="9"/>
        <item x="10"/>
        <item x="26"/>
        <item x="11"/>
        <item x="44"/>
        <item x="1"/>
        <item x="17"/>
        <item x="12"/>
        <item x="54"/>
        <item x="13"/>
        <item x="14"/>
        <item x="33"/>
        <item x="49"/>
        <item x="55"/>
        <item m="1" x="72"/>
        <item x="47"/>
        <item x="20"/>
        <item x="52"/>
        <item m="1" x="69"/>
        <item x="27"/>
        <item x="51"/>
        <item x="31"/>
        <item x="37"/>
        <item x="15"/>
        <item x="16"/>
        <item x="46"/>
        <item x="45"/>
        <item x="53"/>
        <item x="40"/>
        <item m="1" x="71"/>
        <item x="59"/>
        <item x="60"/>
        <item m="1" x="70"/>
        <item x="61"/>
        <item m="1" x="68"/>
        <item x="62"/>
        <item x="63"/>
        <item x="64"/>
        <item m="1" x="67"/>
        <item m="1" x="66"/>
        <item x="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15"/>
        <item x="1"/>
        <item x="5"/>
        <item x="12"/>
        <item x="23"/>
        <item x="20"/>
        <item x="6"/>
        <item x="22"/>
        <item x="18"/>
        <item x="19"/>
        <item x="24"/>
        <item x="17"/>
        <item m="1" x="28"/>
        <item x="21"/>
        <item x="11"/>
        <item x="0"/>
        <item m="1" x="27"/>
        <item x="25"/>
        <item x="2"/>
        <item x="9"/>
        <item x="8"/>
        <item x="4"/>
        <item x="16"/>
        <item x="13"/>
        <item m="1" x="30"/>
        <item m="1" x="29"/>
        <item x="3"/>
        <item m="1" x="31"/>
        <item m="1" x="26"/>
        <item x="7"/>
        <item x="10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4">
        <item x="0"/>
        <item x="1"/>
        <item x="3"/>
        <item x="2"/>
        <item x="4"/>
        <item x="5"/>
        <item x="6"/>
        <item x="7"/>
        <item x="8"/>
        <item x="11"/>
        <item x="9"/>
        <item x="10"/>
        <item x="12"/>
        <item x="13"/>
        <item x="14"/>
        <item x="15"/>
        <item x="16"/>
        <item x="17"/>
        <item x="18"/>
        <item x="19"/>
        <item x="21"/>
        <item x="20"/>
        <item x="23"/>
        <item x="24"/>
        <item x="22"/>
        <item x="25"/>
        <item x="26"/>
        <item x="27"/>
        <item x="28"/>
        <item x="29"/>
        <item x="30"/>
        <item x="32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48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m="1" x="34"/>
        <item x="27"/>
        <item m="1" x="35"/>
        <item x="28"/>
        <item x="29"/>
        <item x="30"/>
        <item m="1" x="36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x="0"/>
        <item x="4"/>
        <item x="10"/>
        <item x="3"/>
        <item x="9"/>
        <item x="7"/>
        <item x="6"/>
        <item x="8"/>
        <item x="15"/>
        <item x="13"/>
        <item x="21"/>
        <item x="18"/>
        <item x="23"/>
        <item x="20"/>
        <item x="17"/>
        <item x="24"/>
        <item x="5"/>
        <item x="1"/>
        <item x="2"/>
        <item x="19"/>
        <item x="11"/>
        <item x="14"/>
        <item x="22"/>
        <item m="1" x="25"/>
        <item x="12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2"/>
        <item x="0"/>
        <item x="5"/>
        <item x="1"/>
        <item x="3"/>
        <item x="4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4"/>
    <field x="24"/>
    <field x="25"/>
    <field x="6"/>
    <field x="2"/>
    <field x="26"/>
  </rowFields>
  <rowItems count="67">
    <i>
      <x/>
      <x/>
      <x v="18"/>
      <x v="1"/>
      <x v="3"/>
      <x v="3"/>
    </i>
    <i>
      <x v="1"/>
      <x v="1"/>
      <x v="3"/>
      <x v="18"/>
      <x v="3"/>
      <x v="3"/>
    </i>
    <i>
      <x v="2"/>
      <x v="30"/>
      <x/>
      <x v="17"/>
      <x/>
      <x v="1"/>
    </i>
    <i>
      <x v="3"/>
      <x v="8"/>
      <x v="2"/>
      <x/>
      <x/>
      <x v="3"/>
    </i>
    <i>
      <x v="4"/>
      <x v="8"/>
      <x/>
      <x v="19"/>
      <x/>
      <x v="2"/>
    </i>
    <i>
      <x v="5"/>
      <x v="8"/>
      <x/>
      <x v="31"/>
      <x/>
      <x v="4"/>
    </i>
    <i>
      <x v="6"/>
      <x v="9"/>
      <x v="20"/>
      <x v="1"/>
      <x/>
      <x v="3"/>
    </i>
    <i>
      <x v="7"/>
      <x v="23"/>
      <x v="10"/>
      <x v="4"/>
      <x/>
      <x v="1"/>
    </i>
    <i>
      <x v="8"/>
      <x v="1"/>
      <x/>
      <x v="26"/>
      <x v="3"/>
      <x v="3"/>
    </i>
    <i>
      <x v="9"/>
      <x v="19"/>
      <x/>
      <x v="1"/>
      <x v="1"/>
      <x v="3"/>
    </i>
    <i>
      <x v="10"/>
      <x v="17"/>
      <x/>
      <x v="9"/>
      <x v="1"/>
      <x v="4"/>
    </i>
    <i>
      <x v="11"/>
      <x v="7"/>
      <x v="7"/>
      <x v="23"/>
      <x/>
      <x v="4"/>
    </i>
    <i>
      <x v="12"/>
      <x v="8"/>
      <x/>
      <x v="2"/>
      <x v="3"/>
      <x v="3"/>
    </i>
    <i>
      <x v="13"/>
      <x v="19"/>
      <x/>
      <x v="1"/>
      <x v="1"/>
      <x v="3"/>
    </i>
    <i>
      <x v="14"/>
      <x v="6"/>
      <x v="5"/>
      <x v="2"/>
      <x v="3"/>
      <x v="3"/>
    </i>
    <i>
      <x v="15"/>
      <x v="20"/>
      <x v="13"/>
      <x v="1"/>
      <x v="3"/>
      <x v="3"/>
    </i>
    <i>
      <x v="16"/>
      <x v="1"/>
      <x v="17"/>
      <x v="21"/>
      <x v="2"/>
      <x/>
    </i>
    <i>
      <x v="17"/>
      <x v="11"/>
      <x/>
      <x v="1"/>
      <x v="3"/>
      <x v="3"/>
    </i>
    <i>
      <x v="18"/>
      <x/>
      <x/>
      <x v="15"/>
      <x v="3"/>
      <x v="1"/>
    </i>
    <i>
      <x v="19"/>
      <x v="1"/>
      <x v="1"/>
      <x v="2"/>
      <x v="3"/>
      <x v="3"/>
    </i>
    <i>
      <x v="20"/>
      <x v="32"/>
      <x/>
      <x v="1"/>
      <x/>
      <x v="3"/>
    </i>
    <i>
      <x v="21"/>
      <x v="5"/>
      <x/>
      <x v="1"/>
      <x v="1"/>
      <x v="3"/>
    </i>
    <i>
      <x v="22"/>
      <x v="2"/>
      <x/>
      <x v="6"/>
      <x v="3"/>
      <x v="1"/>
    </i>
    <i>
      <x v="23"/>
      <x v="31"/>
      <x v="15"/>
      <x v="4"/>
      <x/>
      <x v="1"/>
    </i>
    <i>
      <x v="24"/>
      <x v="12"/>
      <x v="9"/>
      <x v="11"/>
      <x v="1"/>
      <x v="1"/>
    </i>
    <i>
      <x v="25"/>
      <x v="1"/>
      <x v="17"/>
      <x v="1"/>
      <x/>
      <x v="3"/>
    </i>
    <i>
      <x v="26"/>
      <x v="20"/>
      <x v="11"/>
      <x v="2"/>
      <x/>
      <x v="3"/>
    </i>
    <i>
      <x v="27"/>
      <x v="14"/>
      <x v="21"/>
      <x v="26"/>
      <x/>
      <x v="3"/>
    </i>
    <i>
      <x v="28"/>
      <x v="15"/>
      <x v="8"/>
      <x v="8"/>
      <x/>
      <x v="1"/>
    </i>
    <i>
      <x v="29"/>
      <x v="17"/>
      <x v="25"/>
      <x v="5"/>
      <x v="1"/>
      <x v="4"/>
    </i>
    <i>
      <x v="30"/>
      <x v="8"/>
      <x v="17"/>
      <x v="1"/>
      <x/>
      <x v="3"/>
    </i>
    <i>
      <x v="31"/>
      <x v="4"/>
      <x/>
      <x v="29"/>
      <x v="3"/>
      <x v="4"/>
    </i>
    <i>
      <x v="32"/>
      <x v="1"/>
      <x/>
      <x v="29"/>
      <x/>
      <x v="4"/>
    </i>
    <i>
      <x v="33"/>
      <x v="1"/>
      <x/>
      <x v="20"/>
      <x v="3"/>
      <x v="5"/>
    </i>
    <i>
      <x v="34"/>
      <x v="8"/>
      <x v="4"/>
      <x v="3"/>
      <x/>
      <x v="3"/>
    </i>
    <i>
      <x v="35"/>
      <x v="1"/>
      <x/>
      <x v="19"/>
      <x v="3"/>
      <x v="2"/>
    </i>
    <i>
      <x v="36"/>
      <x v="20"/>
      <x v="19"/>
      <x v="2"/>
      <x/>
      <x v="3"/>
    </i>
    <i>
      <x v="37"/>
      <x/>
      <x v="17"/>
      <x v="1"/>
      <x v="3"/>
      <x v="3"/>
    </i>
    <i>
      <x v="38"/>
      <x v="3"/>
      <x v="6"/>
      <x v="2"/>
      <x v="3"/>
      <x v="3"/>
    </i>
    <i>
      <x v="39"/>
      <x v="1"/>
      <x/>
      <x v="30"/>
      <x v="2"/>
      <x v="1"/>
    </i>
    <i>
      <x v="40"/>
      <x v="26"/>
      <x v="12"/>
      <x v="10"/>
      <x/>
      <x v="3"/>
    </i>
    <i>
      <x v="41"/>
      <x v="1"/>
      <x/>
      <x v="20"/>
      <x v="3"/>
      <x v="5"/>
    </i>
    <i>
      <x v="42"/>
      <x v="1"/>
      <x v="16"/>
      <x v="14"/>
      <x/>
      <x v="1"/>
    </i>
    <i>
      <x v="43"/>
      <x v="13"/>
      <x/>
      <x v="22"/>
      <x v="2"/>
      <x v="1"/>
    </i>
    <i>
      <x v="44"/>
      <x v="21"/>
      <x/>
      <x v="7"/>
      <x v="2"/>
      <x v="3"/>
    </i>
    <i>
      <x v="45"/>
      <x v="28"/>
      <x/>
      <x v="10"/>
      <x/>
      <x v="3"/>
    </i>
    <i>
      <x v="47"/>
      <x v="20"/>
      <x v="18"/>
      <x v="1"/>
      <x v="3"/>
      <x v="3"/>
    </i>
    <i>
      <x v="48"/>
      <x v="6"/>
      <x v="5"/>
      <x v="3"/>
      <x v="3"/>
      <x v="3"/>
    </i>
    <i>
      <x v="49"/>
      <x v="24"/>
      <x/>
      <x v="1"/>
      <x/>
      <x v="3"/>
    </i>
    <i>
      <x v="51"/>
      <x v="8"/>
      <x/>
      <x v="1"/>
      <x/>
      <x v="3"/>
    </i>
    <i>
      <x v="52"/>
      <x v="22"/>
      <x v="22"/>
      <x v="26"/>
      <x/>
      <x v="3"/>
    </i>
    <i>
      <x v="53"/>
      <x v="10"/>
      <x v="24"/>
      <x v="1"/>
      <x v="3"/>
      <x v="3"/>
    </i>
    <i>
      <x v="54"/>
      <x v="16"/>
      <x/>
      <x v="29"/>
      <x/>
      <x v="4"/>
    </i>
    <i>
      <x v="55"/>
      <x v="1"/>
      <x/>
      <x v="29"/>
      <x v="3"/>
      <x v="4"/>
    </i>
    <i>
      <x v="56"/>
      <x v="1"/>
      <x/>
      <x v="20"/>
      <x v="3"/>
      <x v="5"/>
    </i>
    <i>
      <x v="57"/>
      <x v="20"/>
      <x v="13"/>
      <x v="2"/>
      <x v="3"/>
      <x v="3"/>
    </i>
    <i>
      <x v="58"/>
      <x v="20"/>
      <x/>
      <x v="1"/>
      <x/>
      <x v="3"/>
    </i>
    <i>
      <x v="59"/>
      <x v="25"/>
      <x/>
      <x v="10"/>
      <x v="3"/>
      <x v="3"/>
    </i>
    <i>
      <x v="60"/>
      <x v="18"/>
      <x v="14"/>
      <x v="13"/>
      <x/>
      <x v="4"/>
    </i>
    <i>
      <x v="62"/>
      <x v="34"/>
      <x/>
      <x v="1"/>
      <x v="3"/>
      <x v="3"/>
    </i>
    <i>
      <x v="63"/>
      <x v="34"/>
      <x/>
      <x v="1"/>
      <x v="3"/>
      <x v="3"/>
    </i>
    <i>
      <x v="65"/>
      <x v="35"/>
      <x/>
      <x v="1"/>
      <x/>
      <x v="3"/>
    </i>
    <i>
      <x v="67"/>
      <x v="36"/>
      <x/>
      <x v="1"/>
      <x v="3"/>
      <x v="3"/>
    </i>
    <i>
      <x v="68"/>
      <x v="36"/>
      <x/>
      <x v="1"/>
      <x v="3"/>
      <x v="3"/>
    </i>
    <i>
      <x v="69"/>
      <x v="36"/>
      <x/>
      <x v="1"/>
      <x/>
      <x v="3"/>
    </i>
    <i>
      <x v="72"/>
      <x v="36"/>
      <x/>
      <x v="1"/>
      <x/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Salaire brut total" fld="12" baseField="4" baseItem="0" numFmtId="4"/>
    <dataField name=" Base imposable" fld="19" baseField="30" baseItem="3" numFmtId="4"/>
    <dataField name=" IRSA" fld="18" baseField="30" baseItem="3" numFmtId="4"/>
  </dataFields>
  <formats count="270">
    <format dxfId="0">
      <pivotArea dataOnly="0" labelOnly="1" outline="0" fieldPosition="0">
        <references count="5">
          <reference field="2" count="1">
            <x v="0"/>
          </reference>
          <reference field="4" count="1" selected="0">
            <x v="2"/>
          </reference>
          <reference field="6" count="1" selected="0">
            <x v="17"/>
          </reference>
          <reference field="24" count="1" selected="0">
            <x v="30"/>
          </reference>
          <reference field="25" count="1" selected="0">
            <x v="0"/>
          </reference>
        </references>
      </pivotArea>
    </format>
    <format dxfId="1">
      <pivotArea dataOnly="0" labelOnly="1" outline="0" fieldPosition="0">
        <references count="5">
          <reference field="2" count="1">
            <x v="3"/>
          </reference>
          <reference field="4" count="1" selected="0">
            <x v="8"/>
          </reference>
          <reference field="6" count="1" selected="0">
            <x v="2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">
      <pivotArea dataOnly="0" labelOnly="1" outline="0" fieldPosition="0">
        <references count="5">
          <reference field="2" count="1">
            <x v="1"/>
          </reference>
          <reference field="4" count="1" selected="0">
            <x v="9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3">
      <pivotArea dataOnly="0" labelOnly="1" outline="0" fieldPosition="0">
        <references count="5">
          <reference field="2" count="1">
            <x v="3"/>
          </reference>
          <reference field="4" count="1" selected="0">
            <x v="12"/>
          </reference>
          <reference field="6" count="1" selected="0">
            <x v="2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4">
      <pivotArea dataOnly="0" labelOnly="1" outline="0" fieldPosition="0">
        <references count="5">
          <reference field="2" count="1">
            <x v="1"/>
          </reference>
          <reference field="4" count="1" selected="0">
            <x v="13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5">
      <pivotArea dataOnly="0" labelOnly="1" outline="0" fieldPosition="0">
        <references count="5">
          <reference field="2" count="1">
            <x v="3"/>
          </reference>
          <reference field="4" count="1" selected="0">
            <x v="17"/>
          </reference>
          <reference field="6" count="1" selected="0">
            <x v="1"/>
          </reference>
          <reference field="24" count="1" selected="0">
            <x v="11"/>
          </reference>
          <reference field="25" count="1" selected="0">
            <x v="0"/>
          </reference>
        </references>
      </pivotArea>
    </format>
    <format dxfId="6">
      <pivotArea dataOnly="0" labelOnly="1" outline="0" fieldPosition="0">
        <references count="5">
          <reference field="2" count="1">
            <x v="0"/>
          </reference>
          <reference field="4" count="1" selected="0">
            <x v="20"/>
          </reference>
          <reference field="6" count="1" selected="0">
            <x v="1"/>
          </reference>
          <reference field="24" count="1" selected="0">
            <x v="32"/>
          </reference>
          <reference field="25" count="1" selected="0">
            <x v="0"/>
          </reference>
        </references>
      </pivotArea>
    </format>
    <format dxfId="7">
      <pivotArea dataOnly="0" labelOnly="1" outline="0" fieldPosition="0">
        <references count="5">
          <reference field="2" count="1">
            <x v="1"/>
          </reference>
          <reference field="4" count="1" selected="0">
            <x v="21"/>
          </reference>
          <reference field="6" count="1" selected="0">
            <x v="1"/>
          </reference>
          <reference field="24" count="1" selected="0">
            <x v="5"/>
          </reference>
          <reference field="25" count="1" selected="0">
            <x v="0"/>
          </reference>
        </references>
      </pivotArea>
    </format>
    <format dxfId="8">
      <pivotArea dataOnly="0" labelOnly="1" outline="0" fieldPosition="0">
        <references count="5">
          <reference field="2" count="1">
            <x v="3"/>
          </reference>
          <reference field="4" count="1" selected="0">
            <x v="22"/>
          </reference>
          <reference field="6" count="1" selected="0">
            <x v="6"/>
          </reference>
          <reference field="24" count="1" selected="0">
            <x v="2"/>
          </reference>
          <reference field="25" count="1" selected="0">
            <x v="0"/>
          </reference>
        </references>
      </pivotArea>
    </format>
    <format dxfId="9">
      <pivotArea dataOnly="0" labelOnly="1" outline="0" fieldPosition="0">
        <references count="5">
          <reference field="2" count="1">
            <x v="0"/>
          </reference>
          <reference field="4" count="1" selected="0">
            <x v="27"/>
          </reference>
          <reference field="6" count="1" selected="0">
            <x v="26"/>
          </reference>
          <reference field="24" count="1" selected="0">
            <x v="27"/>
          </reference>
          <reference field="25" count="1" selected="0">
            <x v="0"/>
          </reference>
        </references>
      </pivotArea>
    </format>
    <format dxfId="10">
      <pivotArea dataOnly="0" labelOnly="1" outline="0" fieldPosition="0">
        <references count="5">
          <reference field="2" count="1">
            <x v="1"/>
          </reference>
          <reference field="4" count="1" selected="0">
            <x v="29"/>
          </reference>
          <reference field="6" count="1" selected="0">
            <x v="5"/>
          </reference>
          <reference field="24" count="1" selected="0">
            <x v="17"/>
          </reference>
          <reference field="25" count="1" selected="0">
            <x v="0"/>
          </reference>
        </references>
      </pivotArea>
    </format>
    <format dxfId="11">
      <pivotArea dataOnly="0" labelOnly="1" outline="0" fieldPosition="0">
        <references count="5">
          <reference field="2" count="1">
            <x v="3"/>
          </reference>
          <reference field="4" count="1" selected="0">
            <x v="31"/>
          </reference>
          <reference field="6" count="1" selected="0">
            <x v="12"/>
          </reference>
          <reference field="24" count="1" selected="0">
            <x v="4"/>
          </reference>
          <reference field="25" count="1" selected="0">
            <x v="0"/>
          </reference>
        </references>
      </pivotArea>
    </format>
    <format dxfId="12">
      <pivotArea dataOnly="0" labelOnly="1" outline="0" fieldPosition="0">
        <references count="5">
          <reference field="2" count="1">
            <x v="0"/>
          </reference>
          <reference field="4" count="1" selected="0">
            <x v="32"/>
          </reference>
          <reference field="6" count="1" selected="0">
            <x v="1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3">
      <pivotArea dataOnly="0" labelOnly="1" outline="0" fieldPosition="0">
        <references count="5">
          <reference field="2" count="1">
            <x v="3"/>
          </reference>
          <reference field="4" count="1" selected="0">
            <x v="33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4">
      <pivotArea dataOnly="0" labelOnly="1" outline="0" fieldPosition="0">
        <references count="5">
          <reference field="2" count="1">
            <x v="0"/>
          </reference>
          <reference field="4" count="1" selected="0">
            <x v="36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15">
      <pivotArea dataOnly="0" labelOnly="1" outline="0" fieldPosition="0">
        <references count="5">
          <reference field="2" count="1">
            <x v="2"/>
          </reference>
          <reference field="4" count="1" selected="0">
            <x v="39"/>
          </reference>
          <reference field="6" count="1" selected="0">
            <x v="1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6">
      <pivotArea dataOnly="0" labelOnly="1" outline="0" fieldPosition="0">
        <references count="5">
          <reference field="2" count="1">
            <x v="3"/>
          </reference>
          <reference field="4" count="1" selected="0">
            <x v="41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7">
      <pivotArea dataOnly="0" labelOnly="1" outline="0" fieldPosition="0">
        <references count="5">
          <reference field="2" count="1">
            <x v="2"/>
          </reference>
          <reference field="4" count="1" selected="0">
            <x v="43"/>
          </reference>
          <reference field="6" count="1" selected="0">
            <x v="22"/>
          </reference>
          <reference field="24" count="1" selected="0">
            <x v="13"/>
          </reference>
          <reference field="25" count="1" selected="0">
            <x v="0"/>
          </reference>
        </references>
      </pivotArea>
    </format>
    <format dxfId="18">
      <pivotArea dataOnly="0" labelOnly="1" outline="0" fieldPosition="0">
        <references count="5">
          <reference field="2" count="1">
            <x v="0"/>
          </reference>
          <reference field="4" count="1" selected="0">
            <x v="45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19">
      <pivotArea dataOnly="0" labelOnly="1" outline="0" fieldPosition="0">
        <references count="5">
          <reference field="2" count="1">
            <x v="3"/>
          </reference>
          <reference field="4" count="1" selected="0">
            <x v="53"/>
          </reference>
          <reference field="6" count="1" selected="0">
            <x v="1"/>
          </reference>
          <reference field="24" count="1" selected="0">
            <x v="10"/>
          </reference>
          <reference field="25" count="1" selected="0">
            <x v="0"/>
          </reference>
        </references>
      </pivotArea>
    </format>
    <format dxfId="20">
      <pivotArea dataOnly="0" labelOnly="1" outline="0" fieldPosition="0">
        <references count="5">
          <reference field="2" count="1">
            <x v="0"/>
          </reference>
          <reference field="4" count="1" selected="0">
            <x v="54"/>
          </reference>
          <reference field="6" count="1" selected="0">
            <x v="12"/>
          </reference>
          <reference field="24" count="1" selected="0">
            <x v="16"/>
          </reference>
          <reference field="25" count="1" selected="0">
            <x v="0"/>
          </reference>
        </references>
      </pivotArea>
    </format>
    <format dxfId="21">
      <pivotArea dataOnly="0" labelOnly="1" outline="0" fieldPosition="0">
        <references count="5">
          <reference field="2" count="1">
            <x v="3"/>
          </reference>
          <reference field="4" count="1" selected="0">
            <x v="55"/>
          </reference>
          <reference field="6" count="1" selected="0">
            <x v="2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2">
      <pivotArea dataOnly="0" labelOnly="1" outline="0" fieldPosition="0">
        <references count="5">
          <reference field="2" count="1">
            <x v="0"/>
          </reference>
          <reference field="4" count="1" selected="0">
            <x v="58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23">
      <pivotArea dataOnly="0" labelOnly="1" outline="0" fieldPosition="0">
        <references count="5">
          <reference field="2" count="1">
            <x v="3"/>
          </reference>
          <reference field="4" count="1" selected="0">
            <x v="59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24">
      <pivotArea field="6" type="button" dataOnly="0" labelOnly="1" outline="0" axis="axisRow" fieldPosition="3"/>
    </format>
    <format dxfId="25">
      <pivotArea outline="0" collapsedLevelsAreSubtotals="1" fieldPosition="0"/>
    </format>
    <format dxfId="26">
      <pivotArea dataOnly="0" labelOnly="1" outline="0" fieldPosition="0">
        <references count="1">
          <reference field="4" count="34">
            <x v="2"/>
            <x v="4"/>
            <x v="5"/>
            <x v="6"/>
            <x v="8"/>
            <x v="9"/>
            <x v="10"/>
            <x v="12"/>
            <x v="13"/>
            <x v="17"/>
            <x v="18"/>
            <x v="20"/>
            <x v="21"/>
            <x v="22"/>
            <x v="27"/>
            <x v="29"/>
            <x v="31"/>
            <x v="32"/>
            <x v="33"/>
            <x v="35"/>
            <x v="36"/>
            <x v="39"/>
            <x v="41"/>
            <x v="43"/>
            <x v="44"/>
            <x v="45"/>
            <x v="50"/>
            <x v="51"/>
            <x v="53"/>
            <x v="54"/>
            <x v="55"/>
            <x v="56"/>
            <x v="58"/>
            <x v="59"/>
          </reference>
        </references>
      </pivotArea>
    </format>
    <format dxfId="27">
      <pivotArea dataOnly="0" labelOnly="1" grandRow="1" outline="0" fieldPosition="0"/>
    </format>
    <format dxfId="28">
      <pivotArea dataOnly="0" labelOnly="1" outline="0" fieldPosition="0">
        <references count="2">
          <reference field="4" count="1" selected="0">
            <x v="2"/>
          </reference>
          <reference field="24" count="1">
            <x v="30"/>
          </reference>
        </references>
      </pivotArea>
    </format>
    <format dxfId="29">
      <pivotArea dataOnly="0" labelOnly="1" outline="0" fieldPosition="0">
        <references count="2">
          <reference field="4" count="1" selected="0">
            <x v="4"/>
          </reference>
          <reference field="24" count="1">
            <x v="8"/>
          </reference>
        </references>
      </pivotArea>
    </format>
    <format dxfId="30">
      <pivotArea dataOnly="0" labelOnly="1" outline="0" fieldPosition="0">
        <references count="2">
          <reference field="4" count="1" selected="0">
            <x v="6"/>
          </reference>
          <reference field="24" count="1">
            <x v="9"/>
          </reference>
        </references>
      </pivotArea>
    </format>
    <format dxfId="31">
      <pivotArea dataOnly="0" labelOnly="1" outline="0" fieldPosition="0">
        <references count="2">
          <reference field="4" count="1" selected="0">
            <x v="8"/>
          </reference>
          <reference field="24" count="1">
            <x v="1"/>
          </reference>
        </references>
      </pivotArea>
    </format>
    <format dxfId="32">
      <pivotArea dataOnly="0" labelOnly="1" outline="0" fieldPosition="0">
        <references count="2">
          <reference field="4" count="1" selected="0">
            <x v="9"/>
          </reference>
          <reference field="24" count="1">
            <x v="19"/>
          </reference>
        </references>
      </pivotArea>
    </format>
    <format dxfId="33">
      <pivotArea dataOnly="0" labelOnly="1" outline="0" fieldPosition="0">
        <references count="2">
          <reference field="4" count="1" selected="0">
            <x v="10"/>
          </reference>
          <reference field="24" count="1">
            <x v="17"/>
          </reference>
        </references>
      </pivotArea>
    </format>
    <format dxfId="34">
      <pivotArea dataOnly="0" labelOnly="1" outline="0" fieldPosition="0">
        <references count="2">
          <reference field="4" count="1" selected="0">
            <x v="12"/>
          </reference>
          <reference field="24" count="1">
            <x v="8"/>
          </reference>
        </references>
      </pivotArea>
    </format>
    <format dxfId="35">
      <pivotArea dataOnly="0" labelOnly="1" outline="0" fieldPosition="0">
        <references count="2">
          <reference field="4" count="1" selected="0">
            <x v="13"/>
          </reference>
          <reference field="24" count="1">
            <x v="19"/>
          </reference>
        </references>
      </pivotArea>
    </format>
    <format dxfId="36">
      <pivotArea dataOnly="0" labelOnly="1" outline="0" fieldPosition="0">
        <references count="2">
          <reference field="4" count="1" selected="0">
            <x v="17"/>
          </reference>
          <reference field="24" count="1">
            <x v="11"/>
          </reference>
        </references>
      </pivotArea>
    </format>
    <format dxfId="37">
      <pivotArea dataOnly="0" labelOnly="1" outline="0" fieldPosition="0">
        <references count="2">
          <reference field="4" count="1" selected="0">
            <x v="18"/>
          </reference>
          <reference field="24" count="1">
            <x v="0"/>
          </reference>
        </references>
      </pivotArea>
    </format>
    <format dxfId="38">
      <pivotArea dataOnly="0" labelOnly="1" outline="0" fieldPosition="0">
        <references count="2">
          <reference field="4" count="1" selected="0">
            <x v="20"/>
          </reference>
          <reference field="24" count="1">
            <x v="32"/>
          </reference>
        </references>
      </pivotArea>
    </format>
    <format dxfId="39">
      <pivotArea dataOnly="0" labelOnly="1" outline="0" fieldPosition="0">
        <references count="2">
          <reference field="4" count="1" selected="0">
            <x v="21"/>
          </reference>
          <reference field="24" count="1">
            <x v="5"/>
          </reference>
        </references>
      </pivotArea>
    </format>
    <format dxfId="40">
      <pivotArea dataOnly="0" labelOnly="1" outline="0" fieldPosition="0">
        <references count="2">
          <reference field="4" count="1" selected="0">
            <x v="22"/>
          </reference>
          <reference field="24" count="1">
            <x v="2"/>
          </reference>
        </references>
      </pivotArea>
    </format>
    <format dxfId="41">
      <pivotArea dataOnly="0" labelOnly="1" outline="0" fieldPosition="0">
        <references count="2">
          <reference field="4" count="1" selected="0">
            <x v="27"/>
          </reference>
          <reference field="24" count="1">
            <x v="27"/>
          </reference>
        </references>
      </pivotArea>
    </format>
    <format dxfId="42">
      <pivotArea dataOnly="0" labelOnly="1" outline="0" fieldPosition="0">
        <references count="2">
          <reference field="4" count="1" selected="0">
            <x v="29"/>
          </reference>
          <reference field="24" count="1">
            <x v="17"/>
          </reference>
        </references>
      </pivotArea>
    </format>
    <format dxfId="43">
      <pivotArea dataOnly="0" labelOnly="1" outline="0" fieldPosition="0">
        <references count="2">
          <reference field="4" count="1" selected="0">
            <x v="31"/>
          </reference>
          <reference field="24" count="1">
            <x v="4"/>
          </reference>
        </references>
      </pivotArea>
    </format>
    <format dxfId="44">
      <pivotArea dataOnly="0" labelOnly="1" outline="0" fieldPosition="0">
        <references count="2">
          <reference field="4" count="1" selected="0">
            <x v="32"/>
          </reference>
          <reference field="24" count="1">
            <x v="1"/>
          </reference>
        </references>
      </pivotArea>
    </format>
    <format dxfId="45">
      <pivotArea dataOnly="0" labelOnly="1" outline="0" fieldPosition="0">
        <references count="2">
          <reference field="4" count="1" selected="0">
            <x v="36"/>
          </reference>
          <reference field="24" count="1">
            <x v="20"/>
          </reference>
        </references>
      </pivotArea>
    </format>
    <format dxfId="46">
      <pivotArea dataOnly="0" labelOnly="1" outline="0" fieldPosition="0">
        <references count="2">
          <reference field="4" count="1" selected="0">
            <x v="39"/>
          </reference>
          <reference field="24" count="1">
            <x v="1"/>
          </reference>
        </references>
      </pivotArea>
    </format>
    <format dxfId="47">
      <pivotArea dataOnly="0" labelOnly="1" outline="0" fieldPosition="0">
        <references count="2">
          <reference field="4" count="1" selected="0">
            <x v="43"/>
          </reference>
          <reference field="24" count="1">
            <x v="13"/>
          </reference>
        </references>
      </pivotArea>
    </format>
    <format dxfId="48">
      <pivotArea dataOnly="0" labelOnly="1" outline="0" fieldPosition="0">
        <references count="2">
          <reference field="4" count="1" selected="0">
            <x v="44"/>
          </reference>
          <reference field="24" count="1">
            <x v="21"/>
          </reference>
        </references>
      </pivotArea>
    </format>
    <format dxfId="49">
      <pivotArea dataOnly="0" labelOnly="1" outline="0" fieldPosition="0">
        <references count="2">
          <reference field="4" count="1" selected="0">
            <x v="45"/>
          </reference>
          <reference field="24" count="1">
            <x v="33"/>
          </reference>
        </references>
      </pivotArea>
    </format>
    <format dxfId="50">
      <pivotArea dataOnly="0" labelOnly="1" outline="0" fieldPosition="0">
        <references count="2">
          <reference field="4" count="1" selected="0">
            <x v="50"/>
          </reference>
          <reference field="24" count="1">
            <x v="29"/>
          </reference>
        </references>
      </pivotArea>
    </format>
    <format dxfId="51">
      <pivotArea dataOnly="0" labelOnly="1" outline="0" fieldPosition="0">
        <references count="2">
          <reference field="4" count="1" selected="0">
            <x v="51"/>
          </reference>
          <reference field="24" count="1">
            <x v="8"/>
          </reference>
        </references>
      </pivotArea>
    </format>
    <format dxfId="52">
      <pivotArea dataOnly="0" labelOnly="1" outline="0" fieldPosition="0">
        <references count="2">
          <reference field="4" count="1" selected="0">
            <x v="53"/>
          </reference>
          <reference field="24" count="1">
            <x v="10"/>
          </reference>
        </references>
      </pivotArea>
    </format>
    <format dxfId="53">
      <pivotArea dataOnly="0" labelOnly="1" outline="0" fieldPosition="0">
        <references count="2">
          <reference field="4" count="1" selected="0">
            <x v="54"/>
          </reference>
          <reference field="24" count="1">
            <x v="16"/>
          </reference>
        </references>
      </pivotArea>
    </format>
    <format dxfId="54">
      <pivotArea dataOnly="0" labelOnly="1" outline="0" fieldPosition="0">
        <references count="2">
          <reference field="4" count="1" selected="0">
            <x v="55"/>
          </reference>
          <reference field="24" count="1">
            <x v="1"/>
          </reference>
        </references>
      </pivotArea>
    </format>
    <format dxfId="55">
      <pivotArea dataOnly="0" labelOnly="1" outline="0" fieldPosition="0">
        <references count="2">
          <reference field="4" count="1" selected="0">
            <x v="58"/>
          </reference>
          <reference field="24" count="1">
            <x v="20"/>
          </reference>
        </references>
      </pivotArea>
    </format>
    <format dxfId="56">
      <pivotArea dataOnly="0" labelOnly="1" outline="0" fieldPosition="0">
        <references count="2">
          <reference field="4" count="1" selected="0">
            <x v="59"/>
          </reference>
          <reference field="24" count="1">
            <x v="33"/>
          </reference>
        </references>
      </pivotArea>
    </format>
    <format dxfId="57">
      <pivotArea dataOnly="0" labelOnly="1" outline="0" fieldPosition="0">
        <references count="3">
          <reference field="4" count="1" selected="0">
            <x v="2"/>
          </reference>
          <reference field="24" count="1" selected="0">
            <x v="30"/>
          </reference>
          <reference field="25" count="1">
            <x v="0"/>
          </reference>
        </references>
      </pivotArea>
    </format>
    <format dxfId="58">
      <pivotArea dataOnly="0" labelOnly="1" outline="0" fieldPosition="0">
        <references count="4">
          <reference field="4" count="1" selected="0">
            <x v="2"/>
          </reference>
          <reference field="6" count="1">
            <x v="17"/>
          </reference>
          <reference field="24" count="1" selected="0">
            <x v="30"/>
          </reference>
          <reference field="25" count="1" selected="0">
            <x v="0"/>
          </reference>
        </references>
      </pivotArea>
    </format>
    <format dxfId="59">
      <pivotArea dataOnly="0" labelOnly="1" outline="0" fieldPosition="0">
        <references count="4">
          <reference field="4" count="1" selected="0">
            <x v="4"/>
          </reference>
          <reference field="6" count="1">
            <x v="19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60">
      <pivotArea dataOnly="0" labelOnly="1" outline="0" fieldPosition="0">
        <references count="4">
          <reference field="4" count="1" selected="0">
            <x v="5"/>
          </reference>
          <reference field="6" count="1">
            <x v="25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61">
      <pivotArea dataOnly="0" labelOnly="1" outline="0" fieldPosition="0">
        <references count="4">
          <reference field="4" count="1" selected="0">
            <x v="6"/>
          </reference>
          <reference field="6" count="1">
            <x v="1"/>
          </reference>
          <reference field="24" count="1" selected="0">
            <x v="9"/>
          </reference>
          <reference field="25" count="1" selected="0">
            <x v="0"/>
          </reference>
        </references>
      </pivotArea>
    </format>
    <format dxfId="62">
      <pivotArea dataOnly="0" labelOnly="1" outline="0" fieldPosition="0">
        <references count="4">
          <reference field="4" count="1" selected="0">
            <x v="8"/>
          </reference>
          <reference field="6" count="1">
            <x v="2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63">
      <pivotArea dataOnly="0" labelOnly="1" outline="0" fieldPosition="0">
        <references count="4">
          <reference field="4" count="1" selected="0">
            <x v="9"/>
          </reference>
          <reference field="6" count="1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64">
      <pivotArea dataOnly="0" labelOnly="1" outline="0" fieldPosition="0">
        <references count="4">
          <reference field="4" count="1" selected="0">
            <x v="10"/>
          </reference>
          <reference field="6" count="1">
            <x v="9"/>
          </reference>
          <reference field="24" count="1" selected="0">
            <x v="17"/>
          </reference>
          <reference field="25" count="1" selected="0">
            <x v="0"/>
          </reference>
        </references>
      </pivotArea>
    </format>
    <format dxfId="65">
      <pivotArea dataOnly="0" labelOnly="1" outline="0" fieldPosition="0">
        <references count="4">
          <reference field="4" count="1" selected="0">
            <x v="12"/>
          </reference>
          <reference field="6" count="1">
            <x v="2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66">
      <pivotArea dataOnly="0" labelOnly="1" outline="0" fieldPosition="0">
        <references count="4">
          <reference field="4" count="1" selected="0">
            <x v="13"/>
          </reference>
          <reference field="6" count="1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67">
      <pivotArea dataOnly="0" labelOnly="1" outline="0" fieldPosition="0">
        <references count="4">
          <reference field="4" count="1" selected="0">
            <x v="18"/>
          </reference>
          <reference field="6" count="1">
            <x v="15"/>
          </reference>
          <reference field="24" count="1" selected="0">
            <x v="0"/>
          </reference>
          <reference field="25" count="1" selected="0">
            <x v="0"/>
          </reference>
        </references>
      </pivotArea>
    </format>
    <format dxfId="68">
      <pivotArea dataOnly="0" labelOnly="1" outline="0" fieldPosition="0">
        <references count="4">
          <reference field="4" count="1" selected="0">
            <x v="20"/>
          </reference>
          <reference field="6" count="1">
            <x v="1"/>
          </reference>
          <reference field="24" count="1" selected="0">
            <x v="32"/>
          </reference>
          <reference field="25" count="1" selected="0">
            <x v="0"/>
          </reference>
        </references>
      </pivotArea>
    </format>
    <format dxfId="69">
      <pivotArea dataOnly="0" labelOnly="1" outline="0" fieldPosition="0">
        <references count="4">
          <reference field="4" count="1" selected="0">
            <x v="22"/>
          </reference>
          <reference field="6" count="1">
            <x v="6"/>
          </reference>
          <reference field="24" count="1" selected="0">
            <x v="2"/>
          </reference>
          <reference field="25" count="1" selected="0">
            <x v="0"/>
          </reference>
        </references>
      </pivotArea>
    </format>
    <format dxfId="70">
      <pivotArea dataOnly="0" labelOnly="1" outline="0" fieldPosition="0">
        <references count="4">
          <reference field="4" count="1" selected="0">
            <x v="27"/>
          </reference>
          <reference field="6" count="1">
            <x v="26"/>
          </reference>
          <reference field="24" count="1" selected="0">
            <x v="27"/>
          </reference>
          <reference field="25" count="1" selected="0">
            <x v="0"/>
          </reference>
        </references>
      </pivotArea>
    </format>
    <format dxfId="71">
      <pivotArea dataOnly="0" labelOnly="1" outline="0" fieldPosition="0">
        <references count="4">
          <reference field="4" count="1" selected="0">
            <x v="29"/>
          </reference>
          <reference field="6" count="1">
            <x v="5"/>
          </reference>
          <reference field="24" count="1" selected="0">
            <x v="17"/>
          </reference>
          <reference field="25" count="1" selected="0">
            <x v="0"/>
          </reference>
        </references>
      </pivotArea>
    </format>
    <format dxfId="72">
      <pivotArea dataOnly="0" labelOnly="1" outline="0" fieldPosition="0">
        <references count="4">
          <reference field="4" count="1" selected="0">
            <x v="31"/>
          </reference>
          <reference field="6" count="1">
            <x v="12"/>
          </reference>
          <reference field="24" count="1" selected="0">
            <x v="4"/>
          </reference>
          <reference field="25" count="1" selected="0">
            <x v="0"/>
          </reference>
        </references>
      </pivotArea>
    </format>
    <format dxfId="73">
      <pivotArea dataOnly="0" labelOnly="1" outline="0" fieldPosition="0">
        <references count="4">
          <reference field="4" count="1" selected="0">
            <x v="32"/>
          </reference>
          <reference field="6" count="1">
            <x v="1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74">
      <pivotArea dataOnly="0" labelOnly="1" outline="0" fieldPosition="0">
        <references count="4">
          <reference field="4" count="1" selected="0">
            <x v="33"/>
          </reference>
          <reference field="6" count="1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75">
      <pivotArea dataOnly="0" labelOnly="1" outline="0" fieldPosition="0">
        <references count="4">
          <reference field="4" count="1" selected="0">
            <x v="35"/>
          </reference>
          <reference field="6" count="1">
            <x v="19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76">
      <pivotArea dataOnly="0" labelOnly="1" outline="0" fieldPosition="0">
        <references count="4">
          <reference field="4" count="1" selected="0">
            <x v="36"/>
          </reference>
          <reference field="6" count="1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77">
      <pivotArea dataOnly="0" labelOnly="1" outline="0" fieldPosition="0">
        <references count="4">
          <reference field="4" count="1" selected="0">
            <x v="39"/>
          </reference>
          <reference field="6" count="1">
            <x v="1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78">
      <pivotArea dataOnly="0" labelOnly="1" outline="0" fieldPosition="0">
        <references count="4">
          <reference field="4" count="1" selected="0">
            <x v="41"/>
          </reference>
          <reference field="6" count="1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79">
      <pivotArea dataOnly="0" labelOnly="1" outline="0" fieldPosition="0">
        <references count="4">
          <reference field="4" count="1" selected="0">
            <x v="43"/>
          </reference>
          <reference field="6" count="1">
            <x v="22"/>
          </reference>
          <reference field="24" count="1" selected="0">
            <x v="13"/>
          </reference>
          <reference field="25" count="1" selected="0">
            <x v="0"/>
          </reference>
        </references>
      </pivotArea>
    </format>
    <format dxfId="80">
      <pivotArea dataOnly="0" labelOnly="1" outline="0" fieldPosition="0">
        <references count="4">
          <reference field="4" count="1" selected="0">
            <x v="44"/>
          </reference>
          <reference field="6" count="1">
            <x v="7"/>
          </reference>
          <reference field="24" count="1" selected="0">
            <x v="21"/>
          </reference>
          <reference field="25" count="1" selected="0">
            <x v="0"/>
          </reference>
        </references>
      </pivotArea>
    </format>
    <format dxfId="81">
      <pivotArea dataOnly="0" labelOnly="1" outline="0" fieldPosition="0">
        <references count="4">
          <reference field="4" count="1" selected="0">
            <x v="45"/>
          </reference>
          <reference field="6" count="1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82">
      <pivotArea dataOnly="0" labelOnly="1" outline="0" fieldPosition="0">
        <references count="4">
          <reference field="4" count="1" selected="0">
            <x v="50"/>
          </reference>
          <reference field="6" count="1">
            <x v="1"/>
          </reference>
          <reference field="24" count="1" selected="0">
            <x v="29"/>
          </reference>
          <reference field="25" count="1" selected="0">
            <x v="0"/>
          </reference>
        </references>
      </pivotArea>
    </format>
    <format dxfId="83">
      <pivotArea dataOnly="0" labelOnly="1" outline="0" fieldPosition="0">
        <references count="4">
          <reference field="4" count="1" selected="0">
            <x v="51"/>
          </reference>
          <reference field="6" count="1">
            <x v="2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84">
      <pivotArea dataOnly="0" labelOnly="1" outline="0" fieldPosition="0">
        <references count="4">
          <reference field="4" count="1" selected="0">
            <x v="53"/>
          </reference>
          <reference field="6" count="1">
            <x v="1"/>
          </reference>
          <reference field="24" count="1" selected="0">
            <x v="10"/>
          </reference>
          <reference field="25" count="1" selected="0">
            <x v="0"/>
          </reference>
        </references>
      </pivotArea>
    </format>
    <format dxfId="85">
      <pivotArea dataOnly="0" labelOnly="1" outline="0" fieldPosition="0">
        <references count="4">
          <reference field="4" count="1" selected="0">
            <x v="54"/>
          </reference>
          <reference field="6" count="1">
            <x v="12"/>
          </reference>
          <reference field="24" count="1" selected="0">
            <x v="16"/>
          </reference>
          <reference field="25" count="1" selected="0">
            <x v="0"/>
          </reference>
        </references>
      </pivotArea>
    </format>
    <format dxfId="86">
      <pivotArea dataOnly="0" labelOnly="1" outline="0" fieldPosition="0">
        <references count="4">
          <reference field="4" count="1" selected="0">
            <x v="55"/>
          </reference>
          <reference field="6" count="1">
            <x v="2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87">
      <pivotArea dataOnly="0" labelOnly="1" outline="0" fieldPosition="0">
        <references count="4">
          <reference field="4" count="1" selected="0">
            <x v="56"/>
          </reference>
          <reference field="6" count="1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88">
      <pivotArea dataOnly="0" labelOnly="1" outline="0" fieldPosition="0">
        <references count="4">
          <reference field="4" count="1" selected="0">
            <x v="58"/>
          </reference>
          <reference field="6" count="1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89">
      <pivotArea dataOnly="0" labelOnly="1" outline="0" fieldPosition="0">
        <references count="4">
          <reference field="4" count="1" selected="0">
            <x v="59"/>
          </reference>
          <reference field="6" count="1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90">
      <pivotArea dataOnly="0" labelOnly="1" outline="0" fieldPosition="0">
        <references count="5">
          <reference field="2" count="1">
            <x v="0"/>
          </reference>
          <reference field="4" count="1" selected="0">
            <x v="2"/>
          </reference>
          <reference field="6" count="1" selected="0">
            <x v="17"/>
          </reference>
          <reference field="24" count="1" selected="0">
            <x v="30"/>
          </reference>
          <reference field="25" count="1" selected="0">
            <x v="0"/>
          </reference>
        </references>
      </pivotArea>
    </format>
    <format dxfId="91">
      <pivotArea dataOnly="0" labelOnly="1" outline="0" fieldPosition="0">
        <references count="5">
          <reference field="2" count="1">
            <x v="3"/>
          </reference>
          <reference field="4" count="1" selected="0">
            <x v="8"/>
          </reference>
          <reference field="6" count="1" selected="0">
            <x v="2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92">
      <pivotArea dataOnly="0" labelOnly="1" outline="0" fieldPosition="0">
        <references count="5">
          <reference field="2" count="1">
            <x v="1"/>
          </reference>
          <reference field="4" count="1" selected="0">
            <x v="9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93">
      <pivotArea dataOnly="0" labelOnly="1" outline="0" fieldPosition="0">
        <references count="5">
          <reference field="2" count="1">
            <x v="3"/>
          </reference>
          <reference field="4" count="1" selected="0">
            <x v="12"/>
          </reference>
          <reference field="6" count="1" selected="0">
            <x v="2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94">
      <pivotArea dataOnly="0" labelOnly="1" outline="0" fieldPosition="0">
        <references count="5">
          <reference field="2" count="1">
            <x v="1"/>
          </reference>
          <reference field="4" count="1" selected="0">
            <x v="13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95">
      <pivotArea dataOnly="0" labelOnly="1" outline="0" fieldPosition="0">
        <references count="5">
          <reference field="2" count="1">
            <x v="3"/>
          </reference>
          <reference field="4" count="1" selected="0">
            <x v="17"/>
          </reference>
          <reference field="6" count="1" selected="0">
            <x v="1"/>
          </reference>
          <reference field="24" count="1" selected="0">
            <x v="11"/>
          </reference>
          <reference field="25" count="1" selected="0">
            <x v="0"/>
          </reference>
        </references>
      </pivotArea>
    </format>
    <format dxfId="96">
      <pivotArea dataOnly="0" labelOnly="1" outline="0" fieldPosition="0">
        <references count="5">
          <reference field="2" count="1">
            <x v="0"/>
          </reference>
          <reference field="4" count="1" selected="0">
            <x v="20"/>
          </reference>
          <reference field="6" count="1" selected="0">
            <x v="1"/>
          </reference>
          <reference field="24" count="1" selected="0">
            <x v="32"/>
          </reference>
          <reference field="25" count="1" selected="0">
            <x v="0"/>
          </reference>
        </references>
      </pivotArea>
    </format>
    <format dxfId="97">
      <pivotArea dataOnly="0" labelOnly="1" outline="0" fieldPosition="0">
        <references count="5">
          <reference field="2" count="1">
            <x v="1"/>
          </reference>
          <reference field="4" count="1" selected="0">
            <x v="21"/>
          </reference>
          <reference field="6" count="1" selected="0">
            <x v="1"/>
          </reference>
          <reference field="24" count="1" selected="0">
            <x v="5"/>
          </reference>
          <reference field="25" count="1" selected="0">
            <x v="0"/>
          </reference>
        </references>
      </pivotArea>
    </format>
    <format dxfId="98">
      <pivotArea dataOnly="0" labelOnly="1" outline="0" fieldPosition="0">
        <references count="5">
          <reference field="2" count="1">
            <x v="3"/>
          </reference>
          <reference field="4" count="1" selected="0">
            <x v="22"/>
          </reference>
          <reference field="6" count="1" selected="0">
            <x v="6"/>
          </reference>
          <reference field="24" count="1" selected="0">
            <x v="2"/>
          </reference>
          <reference field="25" count="1" selected="0">
            <x v="0"/>
          </reference>
        </references>
      </pivotArea>
    </format>
    <format dxfId="99">
      <pivotArea dataOnly="0" labelOnly="1" outline="0" fieldPosition="0">
        <references count="5">
          <reference field="2" count="1">
            <x v="0"/>
          </reference>
          <reference field="4" count="1" selected="0">
            <x v="27"/>
          </reference>
          <reference field="6" count="1" selected="0">
            <x v="26"/>
          </reference>
          <reference field="24" count="1" selected="0">
            <x v="27"/>
          </reference>
          <reference field="25" count="1" selected="0">
            <x v="0"/>
          </reference>
        </references>
      </pivotArea>
    </format>
    <format dxfId="100">
      <pivotArea dataOnly="0" labelOnly="1" outline="0" fieldPosition="0">
        <references count="5">
          <reference field="2" count="1">
            <x v="1"/>
          </reference>
          <reference field="4" count="1" selected="0">
            <x v="29"/>
          </reference>
          <reference field="6" count="1" selected="0">
            <x v="5"/>
          </reference>
          <reference field="24" count="1" selected="0">
            <x v="17"/>
          </reference>
          <reference field="25" count="1" selected="0">
            <x v="0"/>
          </reference>
        </references>
      </pivotArea>
    </format>
    <format dxfId="101">
      <pivotArea dataOnly="0" labelOnly="1" outline="0" fieldPosition="0">
        <references count="5">
          <reference field="2" count="1">
            <x v="3"/>
          </reference>
          <reference field="4" count="1" selected="0">
            <x v="31"/>
          </reference>
          <reference field="6" count="1" selected="0">
            <x v="12"/>
          </reference>
          <reference field="24" count="1" selected="0">
            <x v="4"/>
          </reference>
          <reference field="25" count="1" selected="0">
            <x v="0"/>
          </reference>
        </references>
      </pivotArea>
    </format>
    <format dxfId="102">
      <pivotArea dataOnly="0" labelOnly="1" outline="0" fieldPosition="0">
        <references count="5">
          <reference field="2" count="1">
            <x v="0"/>
          </reference>
          <reference field="4" count="1" selected="0">
            <x v="32"/>
          </reference>
          <reference field="6" count="1" selected="0">
            <x v="1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03">
      <pivotArea dataOnly="0" labelOnly="1" outline="0" fieldPosition="0">
        <references count="5">
          <reference field="2" count="1">
            <x v="3"/>
          </reference>
          <reference field="4" count="1" selected="0">
            <x v="33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04">
      <pivotArea dataOnly="0" labelOnly="1" outline="0" fieldPosition="0">
        <references count="5">
          <reference field="2" count="1">
            <x v="0"/>
          </reference>
          <reference field="4" count="1" selected="0">
            <x v="36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105">
      <pivotArea dataOnly="0" labelOnly="1" outline="0" fieldPosition="0">
        <references count="5">
          <reference field="2" count="1">
            <x v="2"/>
          </reference>
          <reference field="4" count="1" selected="0">
            <x v="39"/>
          </reference>
          <reference field="6" count="1" selected="0">
            <x v="1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06">
      <pivotArea dataOnly="0" labelOnly="1" outline="0" fieldPosition="0">
        <references count="5">
          <reference field="2" count="1">
            <x v="3"/>
          </reference>
          <reference field="4" count="1" selected="0">
            <x v="41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07">
      <pivotArea dataOnly="0" labelOnly="1" outline="0" fieldPosition="0">
        <references count="5">
          <reference field="2" count="1">
            <x v="2"/>
          </reference>
          <reference field="4" count="1" selected="0">
            <x v="43"/>
          </reference>
          <reference field="6" count="1" selected="0">
            <x v="22"/>
          </reference>
          <reference field="24" count="1" selected="0">
            <x v="13"/>
          </reference>
          <reference field="25" count="1" selected="0">
            <x v="0"/>
          </reference>
        </references>
      </pivotArea>
    </format>
    <format dxfId="108">
      <pivotArea dataOnly="0" labelOnly="1" outline="0" fieldPosition="0">
        <references count="5">
          <reference field="2" count="1">
            <x v="0"/>
          </reference>
          <reference field="4" count="1" selected="0">
            <x v="45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109">
      <pivotArea dataOnly="0" labelOnly="1" outline="0" fieldPosition="0">
        <references count="5">
          <reference field="2" count="1">
            <x v="3"/>
          </reference>
          <reference field="4" count="1" selected="0">
            <x v="53"/>
          </reference>
          <reference field="6" count="1" selected="0">
            <x v="1"/>
          </reference>
          <reference field="24" count="1" selected="0">
            <x v="10"/>
          </reference>
          <reference field="25" count="1" selected="0">
            <x v="0"/>
          </reference>
        </references>
      </pivotArea>
    </format>
    <format dxfId="110">
      <pivotArea dataOnly="0" labelOnly="1" outline="0" fieldPosition="0">
        <references count="5">
          <reference field="2" count="1">
            <x v="0"/>
          </reference>
          <reference field="4" count="1" selected="0">
            <x v="54"/>
          </reference>
          <reference field="6" count="1" selected="0">
            <x v="12"/>
          </reference>
          <reference field="24" count="1" selected="0">
            <x v="16"/>
          </reference>
          <reference field="25" count="1" selected="0">
            <x v="0"/>
          </reference>
        </references>
      </pivotArea>
    </format>
    <format dxfId="111">
      <pivotArea dataOnly="0" labelOnly="1" outline="0" fieldPosition="0">
        <references count="5">
          <reference field="2" count="1">
            <x v="3"/>
          </reference>
          <reference field="4" count="1" selected="0">
            <x v="55"/>
          </reference>
          <reference field="6" count="1" selected="0">
            <x v="2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12">
      <pivotArea dataOnly="0" labelOnly="1" outline="0" fieldPosition="0">
        <references count="5">
          <reference field="2" count="1">
            <x v="0"/>
          </reference>
          <reference field="4" count="1" selected="0">
            <x v="58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113">
      <pivotArea dataOnly="0" labelOnly="1" outline="0" fieldPosition="0">
        <references count="5">
          <reference field="2" count="1">
            <x v="3"/>
          </reference>
          <reference field="4" count="1" selected="0">
            <x v="59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114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2"/>
          </reference>
          <reference field="6" count="1" selected="0">
            <x v="17"/>
          </reference>
          <reference field="24" count="1" selected="0">
            <x v="30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115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4"/>
          </reference>
          <reference field="6" count="1" selected="0">
            <x v="19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2"/>
          </reference>
        </references>
      </pivotArea>
    </format>
    <format dxfId="116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"/>
          </reference>
          <reference field="6" count="1" selected="0">
            <x v="25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17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6"/>
          </reference>
          <reference field="6" count="1" selected="0">
            <x v="1"/>
          </reference>
          <reference field="24" count="1" selected="0">
            <x v="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18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8"/>
          </reference>
          <reference field="6" count="1" selected="0">
            <x v="26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19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9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20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10"/>
          </reference>
          <reference field="6" count="1" selected="0">
            <x v="9"/>
          </reference>
          <reference field="24" count="1" selected="0">
            <x v="17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121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12"/>
          </reference>
          <reference field="6" count="1" selected="0">
            <x v="2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22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13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23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17"/>
          </reference>
          <reference field="6" count="1" selected="0">
            <x v="1"/>
          </reference>
          <reference field="24" count="1" selected="0">
            <x v="1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24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18"/>
          </reference>
          <reference field="6" count="1" selected="0">
            <x v="15"/>
          </reference>
          <reference field="24" count="1" selected="0">
            <x v="0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125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20"/>
          </reference>
          <reference field="6" count="1" selected="0">
            <x v="1"/>
          </reference>
          <reference field="24" count="1" selected="0">
            <x v="32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26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21"/>
          </reference>
          <reference field="6" count="1" selected="0">
            <x v="1"/>
          </reference>
          <reference field="24" count="1" selected="0">
            <x v="5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27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22"/>
          </reference>
          <reference field="6" count="1" selected="0">
            <x v="6"/>
          </reference>
          <reference field="24" count="1" selected="0">
            <x v="2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128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27"/>
          </reference>
          <reference field="6" count="1" selected="0">
            <x v="26"/>
          </reference>
          <reference field="24" count="1" selected="0">
            <x v="27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29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29"/>
          </reference>
          <reference field="6" count="1" selected="0">
            <x v="5"/>
          </reference>
          <reference field="24" count="1" selected="0">
            <x v="17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130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31"/>
          </reference>
          <reference field="6" count="1" selected="0">
            <x v="12"/>
          </reference>
          <reference field="24" count="1" selected="0">
            <x v="4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131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32"/>
          </reference>
          <reference field="6" count="1" selected="0">
            <x v="1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32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33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5"/>
          </reference>
        </references>
      </pivotArea>
    </format>
    <format dxfId="133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35"/>
          </reference>
          <reference field="6" count="1" selected="0">
            <x v="19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2"/>
          </reference>
        </references>
      </pivotArea>
    </format>
    <format dxfId="134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36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35">
      <pivotArea dataOnly="0" labelOnly="1" outline="0" fieldPosition="0">
        <references count="6">
          <reference field="2" count="1" selected="0">
            <x v="2"/>
          </reference>
          <reference field="4" count="1" selected="0">
            <x v="39"/>
          </reference>
          <reference field="6" count="1" selected="0">
            <x v="16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136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41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5"/>
          </reference>
        </references>
      </pivotArea>
    </format>
    <format dxfId="137">
      <pivotArea dataOnly="0" labelOnly="1" outline="0" fieldPosition="0">
        <references count="6">
          <reference field="2" count="1" selected="0">
            <x v="2"/>
          </reference>
          <reference field="4" count="1" selected="0">
            <x v="43"/>
          </reference>
          <reference field="6" count="1" selected="0">
            <x v="22"/>
          </reference>
          <reference field="24" count="1" selected="0">
            <x v="13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138">
      <pivotArea dataOnly="0" labelOnly="1" outline="0" fieldPosition="0">
        <references count="6">
          <reference field="2" count="1" selected="0">
            <x v="2"/>
          </reference>
          <reference field="4" count="1" selected="0">
            <x v="44"/>
          </reference>
          <reference field="6" count="1" selected="0">
            <x v="7"/>
          </reference>
          <reference field="24" count="1" selected="0">
            <x v="2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39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45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40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0"/>
          </reference>
          <reference field="6" count="1" selected="0">
            <x v="1"/>
          </reference>
          <reference field="24" count="1" selected="0">
            <x v="2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41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1"/>
          </reference>
          <reference field="6" count="1" selected="0">
            <x v="2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42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3"/>
          </reference>
          <reference field="6" count="1" selected="0">
            <x v="1"/>
          </reference>
          <reference field="24" count="1" selected="0">
            <x v="10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43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4"/>
          </reference>
          <reference field="6" count="1" selected="0">
            <x v="12"/>
          </reference>
          <reference field="24" count="1" selected="0">
            <x v="16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144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5"/>
          </reference>
          <reference field="6" count="1" selected="0">
            <x v="2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45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6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5"/>
          </reference>
        </references>
      </pivotArea>
    </format>
    <format dxfId="146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8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47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9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148">
      <pivotArea dataOnly="0" labelOnly="1" outline="0" fieldPosition="0">
        <references count="1">
          <reference field="4" count="34">
            <x v="2"/>
            <x v="4"/>
            <x v="5"/>
            <x v="6"/>
            <x v="8"/>
            <x v="9"/>
            <x v="10"/>
            <x v="12"/>
            <x v="13"/>
            <x v="17"/>
            <x v="18"/>
            <x v="20"/>
            <x v="21"/>
            <x v="22"/>
            <x v="27"/>
            <x v="29"/>
            <x v="31"/>
            <x v="32"/>
            <x v="33"/>
            <x v="35"/>
            <x v="36"/>
            <x v="39"/>
            <x v="41"/>
            <x v="43"/>
            <x v="44"/>
            <x v="45"/>
            <x v="50"/>
            <x v="51"/>
            <x v="53"/>
            <x v="54"/>
            <x v="55"/>
            <x v="56"/>
            <x v="58"/>
            <x v="59"/>
          </reference>
        </references>
      </pivotArea>
    </format>
    <format dxfId="149">
      <pivotArea dataOnly="0" labelOnly="1" outline="0" fieldPosition="0">
        <references count="2">
          <reference field="4" count="1" selected="0">
            <x v="2"/>
          </reference>
          <reference field="24" count="1">
            <x v="30"/>
          </reference>
        </references>
      </pivotArea>
    </format>
    <format dxfId="150">
      <pivotArea dataOnly="0" labelOnly="1" outline="0" fieldPosition="0">
        <references count="2">
          <reference field="4" count="1" selected="0">
            <x v="4"/>
          </reference>
          <reference field="24" count="1">
            <x v="8"/>
          </reference>
        </references>
      </pivotArea>
    </format>
    <format dxfId="151">
      <pivotArea dataOnly="0" labelOnly="1" outline="0" fieldPosition="0">
        <references count="2">
          <reference field="4" count="1" selected="0">
            <x v="6"/>
          </reference>
          <reference field="24" count="1">
            <x v="9"/>
          </reference>
        </references>
      </pivotArea>
    </format>
    <format dxfId="152">
      <pivotArea dataOnly="0" labelOnly="1" outline="0" fieldPosition="0">
        <references count="2">
          <reference field="4" count="1" selected="0">
            <x v="8"/>
          </reference>
          <reference field="24" count="1">
            <x v="1"/>
          </reference>
        </references>
      </pivotArea>
    </format>
    <format dxfId="153">
      <pivotArea dataOnly="0" labelOnly="1" outline="0" fieldPosition="0">
        <references count="2">
          <reference field="4" count="1" selected="0">
            <x v="9"/>
          </reference>
          <reference field="24" count="1">
            <x v="19"/>
          </reference>
        </references>
      </pivotArea>
    </format>
    <format dxfId="154">
      <pivotArea dataOnly="0" labelOnly="1" outline="0" fieldPosition="0">
        <references count="2">
          <reference field="4" count="1" selected="0">
            <x v="10"/>
          </reference>
          <reference field="24" count="1">
            <x v="17"/>
          </reference>
        </references>
      </pivotArea>
    </format>
    <format dxfId="155">
      <pivotArea dataOnly="0" labelOnly="1" outline="0" fieldPosition="0">
        <references count="2">
          <reference field="4" count="1" selected="0">
            <x v="12"/>
          </reference>
          <reference field="24" count="1">
            <x v="8"/>
          </reference>
        </references>
      </pivotArea>
    </format>
    <format dxfId="156">
      <pivotArea dataOnly="0" labelOnly="1" outline="0" fieldPosition="0">
        <references count="2">
          <reference field="4" count="1" selected="0">
            <x v="13"/>
          </reference>
          <reference field="24" count="1">
            <x v="19"/>
          </reference>
        </references>
      </pivotArea>
    </format>
    <format dxfId="157">
      <pivotArea dataOnly="0" labelOnly="1" outline="0" fieldPosition="0">
        <references count="2">
          <reference field="4" count="1" selected="0">
            <x v="17"/>
          </reference>
          <reference field="24" count="1">
            <x v="11"/>
          </reference>
        </references>
      </pivotArea>
    </format>
    <format dxfId="158">
      <pivotArea dataOnly="0" labelOnly="1" outline="0" fieldPosition="0">
        <references count="2">
          <reference field="4" count="1" selected="0">
            <x v="18"/>
          </reference>
          <reference field="24" count="1">
            <x v="0"/>
          </reference>
        </references>
      </pivotArea>
    </format>
    <format dxfId="159">
      <pivotArea dataOnly="0" labelOnly="1" outline="0" fieldPosition="0">
        <references count="2">
          <reference field="4" count="1" selected="0">
            <x v="20"/>
          </reference>
          <reference field="24" count="1">
            <x v="32"/>
          </reference>
        </references>
      </pivotArea>
    </format>
    <format dxfId="160">
      <pivotArea dataOnly="0" labelOnly="1" outline="0" fieldPosition="0">
        <references count="2">
          <reference field="4" count="1" selected="0">
            <x v="21"/>
          </reference>
          <reference field="24" count="1">
            <x v="5"/>
          </reference>
        </references>
      </pivotArea>
    </format>
    <format dxfId="161">
      <pivotArea dataOnly="0" labelOnly="1" outline="0" fieldPosition="0">
        <references count="2">
          <reference field="4" count="1" selected="0">
            <x v="22"/>
          </reference>
          <reference field="24" count="1">
            <x v="2"/>
          </reference>
        </references>
      </pivotArea>
    </format>
    <format dxfId="162">
      <pivotArea dataOnly="0" labelOnly="1" outline="0" fieldPosition="0">
        <references count="2">
          <reference field="4" count="1" selected="0">
            <x v="27"/>
          </reference>
          <reference field="24" count="1">
            <x v="27"/>
          </reference>
        </references>
      </pivotArea>
    </format>
    <format dxfId="163">
      <pivotArea dataOnly="0" labelOnly="1" outline="0" fieldPosition="0">
        <references count="2">
          <reference field="4" count="1" selected="0">
            <x v="29"/>
          </reference>
          <reference field="24" count="1">
            <x v="17"/>
          </reference>
        </references>
      </pivotArea>
    </format>
    <format dxfId="164">
      <pivotArea dataOnly="0" labelOnly="1" outline="0" fieldPosition="0">
        <references count="2">
          <reference field="4" count="1" selected="0">
            <x v="31"/>
          </reference>
          <reference field="24" count="1">
            <x v="4"/>
          </reference>
        </references>
      </pivotArea>
    </format>
    <format dxfId="165">
      <pivotArea dataOnly="0" labelOnly="1" outline="0" fieldPosition="0">
        <references count="2">
          <reference field="4" count="1" selected="0">
            <x v="32"/>
          </reference>
          <reference field="24" count="1">
            <x v="1"/>
          </reference>
        </references>
      </pivotArea>
    </format>
    <format dxfId="166">
      <pivotArea dataOnly="0" labelOnly="1" outline="0" fieldPosition="0">
        <references count="2">
          <reference field="4" count="1" selected="0">
            <x v="36"/>
          </reference>
          <reference field="24" count="1">
            <x v="20"/>
          </reference>
        </references>
      </pivotArea>
    </format>
    <format dxfId="167">
      <pivotArea dataOnly="0" labelOnly="1" outline="0" fieldPosition="0">
        <references count="2">
          <reference field="4" count="1" selected="0">
            <x v="39"/>
          </reference>
          <reference field="24" count="1">
            <x v="1"/>
          </reference>
        </references>
      </pivotArea>
    </format>
    <format dxfId="168">
      <pivotArea dataOnly="0" labelOnly="1" outline="0" fieldPosition="0">
        <references count="2">
          <reference field="4" count="1" selected="0">
            <x v="43"/>
          </reference>
          <reference field="24" count="1">
            <x v="13"/>
          </reference>
        </references>
      </pivotArea>
    </format>
    <format dxfId="169">
      <pivotArea dataOnly="0" labelOnly="1" outline="0" fieldPosition="0">
        <references count="2">
          <reference field="4" count="1" selected="0">
            <x v="44"/>
          </reference>
          <reference field="24" count="1">
            <x v="21"/>
          </reference>
        </references>
      </pivotArea>
    </format>
    <format dxfId="170">
      <pivotArea dataOnly="0" labelOnly="1" outline="0" fieldPosition="0">
        <references count="2">
          <reference field="4" count="1" selected="0">
            <x v="45"/>
          </reference>
          <reference field="24" count="1">
            <x v="33"/>
          </reference>
        </references>
      </pivotArea>
    </format>
    <format dxfId="171">
      <pivotArea dataOnly="0" labelOnly="1" outline="0" fieldPosition="0">
        <references count="2">
          <reference field="4" count="1" selected="0">
            <x v="50"/>
          </reference>
          <reference field="24" count="1">
            <x v="29"/>
          </reference>
        </references>
      </pivotArea>
    </format>
    <format dxfId="172">
      <pivotArea dataOnly="0" labelOnly="1" outline="0" fieldPosition="0">
        <references count="2">
          <reference field="4" count="1" selected="0">
            <x v="51"/>
          </reference>
          <reference field="24" count="1">
            <x v="8"/>
          </reference>
        </references>
      </pivotArea>
    </format>
    <format dxfId="173">
      <pivotArea dataOnly="0" labelOnly="1" outline="0" fieldPosition="0">
        <references count="2">
          <reference field="4" count="1" selected="0">
            <x v="53"/>
          </reference>
          <reference field="24" count="1">
            <x v="10"/>
          </reference>
        </references>
      </pivotArea>
    </format>
    <format dxfId="174">
      <pivotArea dataOnly="0" labelOnly="1" outline="0" fieldPosition="0">
        <references count="2">
          <reference field="4" count="1" selected="0">
            <x v="54"/>
          </reference>
          <reference field="24" count="1">
            <x v="16"/>
          </reference>
        </references>
      </pivotArea>
    </format>
    <format dxfId="175">
      <pivotArea dataOnly="0" labelOnly="1" outline="0" fieldPosition="0">
        <references count="2">
          <reference field="4" count="1" selected="0">
            <x v="55"/>
          </reference>
          <reference field="24" count="1">
            <x v="1"/>
          </reference>
        </references>
      </pivotArea>
    </format>
    <format dxfId="176">
      <pivotArea dataOnly="0" labelOnly="1" outline="0" fieldPosition="0">
        <references count="2">
          <reference field="4" count="1" selected="0">
            <x v="58"/>
          </reference>
          <reference field="24" count="1">
            <x v="20"/>
          </reference>
        </references>
      </pivotArea>
    </format>
    <format dxfId="177">
      <pivotArea dataOnly="0" labelOnly="1" outline="0" fieldPosition="0">
        <references count="2">
          <reference field="4" count="1" selected="0">
            <x v="59"/>
          </reference>
          <reference field="24" count="1">
            <x v="33"/>
          </reference>
        </references>
      </pivotArea>
    </format>
    <format dxfId="178">
      <pivotArea dataOnly="0" labelOnly="1" outline="0" fieldPosition="0">
        <references count="3">
          <reference field="4" count="1" selected="0">
            <x v="2"/>
          </reference>
          <reference field="24" count="1" selected="0">
            <x v="30"/>
          </reference>
          <reference field="25" count="1">
            <x v="0"/>
          </reference>
        </references>
      </pivotArea>
    </format>
    <format dxfId="179">
      <pivotArea dataOnly="0" labelOnly="1" outline="0" fieldPosition="0">
        <references count="4">
          <reference field="4" count="1" selected="0">
            <x v="2"/>
          </reference>
          <reference field="6" count="1">
            <x v="17"/>
          </reference>
          <reference field="24" count="1" selected="0">
            <x v="30"/>
          </reference>
          <reference field="25" count="1" selected="0">
            <x v="0"/>
          </reference>
        </references>
      </pivotArea>
    </format>
    <format dxfId="180">
      <pivotArea dataOnly="0" labelOnly="1" outline="0" fieldPosition="0">
        <references count="4">
          <reference field="4" count="1" selected="0">
            <x v="4"/>
          </reference>
          <reference field="6" count="1">
            <x v="19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181">
      <pivotArea dataOnly="0" labelOnly="1" outline="0" fieldPosition="0">
        <references count="4">
          <reference field="4" count="1" selected="0">
            <x v="5"/>
          </reference>
          <reference field="6" count="1">
            <x v="25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182">
      <pivotArea dataOnly="0" labelOnly="1" outline="0" fieldPosition="0">
        <references count="4">
          <reference field="4" count="1" selected="0">
            <x v="6"/>
          </reference>
          <reference field="6" count="1">
            <x v="1"/>
          </reference>
          <reference field="24" count="1" selected="0">
            <x v="9"/>
          </reference>
          <reference field="25" count="1" selected="0">
            <x v="0"/>
          </reference>
        </references>
      </pivotArea>
    </format>
    <format dxfId="183">
      <pivotArea dataOnly="0" labelOnly="1" outline="0" fieldPosition="0">
        <references count="4">
          <reference field="4" count="1" selected="0">
            <x v="8"/>
          </reference>
          <reference field="6" count="1">
            <x v="2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84">
      <pivotArea dataOnly="0" labelOnly="1" outline="0" fieldPosition="0">
        <references count="4">
          <reference field="4" count="1" selected="0">
            <x v="9"/>
          </reference>
          <reference field="6" count="1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185">
      <pivotArea dataOnly="0" labelOnly="1" outline="0" fieldPosition="0">
        <references count="4">
          <reference field="4" count="1" selected="0">
            <x v="10"/>
          </reference>
          <reference field="6" count="1">
            <x v="9"/>
          </reference>
          <reference field="24" count="1" selected="0">
            <x v="17"/>
          </reference>
          <reference field="25" count="1" selected="0">
            <x v="0"/>
          </reference>
        </references>
      </pivotArea>
    </format>
    <format dxfId="186">
      <pivotArea dataOnly="0" labelOnly="1" outline="0" fieldPosition="0">
        <references count="4">
          <reference field="4" count="1" selected="0">
            <x v="12"/>
          </reference>
          <reference field="6" count="1">
            <x v="2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187">
      <pivotArea dataOnly="0" labelOnly="1" outline="0" fieldPosition="0">
        <references count="4">
          <reference field="4" count="1" selected="0">
            <x v="13"/>
          </reference>
          <reference field="6" count="1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188">
      <pivotArea dataOnly="0" labelOnly="1" outline="0" fieldPosition="0">
        <references count="4">
          <reference field="4" count="1" selected="0">
            <x v="18"/>
          </reference>
          <reference field="6" count="1">
            <x v="15"/>
          </reference>
          <reference field="24" count="1" selected="0">
            <x v="0"/>
          </reference>
          <reference field="25" count="1" selected="0">
            <x v="0"/>
          </reference>
        </references>
      </pivotArea>
    </format>
    <format dxfId="189">
      <pivotArea dataOnly="0" labelOnly="1" outline="0" fieldPosition="0">
        <references count="4">
          <reference field="4" count="1" selected="0">
            <x v="20"/>
          </reference>
          <reference field="6" count="1">
            <x v="1"/>
          </reference>
          <reference field="24" count="1" selected="0">
            <x v="32"/>
          </reference>
          <reference field="25" count="1" selected="0">
            <x v="0"/>
          </reference>
        </references>
      </pivotArea>
    </format>
    <format dxfId="190">
      <pivotArea dataOnly="0" labelOnly="1" outline="0" fieldPosition="0">
        <references count="4">
          <reference field="4" count="1" selected="0">
            <x v="22"/>
          </reference>
          <reference field="6" count="1">
            <x v="6"/>
          </reference>
          <reference field="24" count="1" selected="0">
            <x v="2"/>
          </reference>
          <reference field="25" count="1" selected="0">
            <x v="0"/>
          </reference>
        </references>
      </pivotArea>
    </format>
    <format dxfId="191">
      <pivotArea dataOnly="0" labelOnly="1" outline="0" fieldPosition="0">
        <references count="4">
          <reference field="4" count="1" selected="0">
            <x v="27"/>
          </reference>
          <reference field="6" count="1">
            <x v="26"/>
          </reference>
          <reference field="24" count="1" selected="0">
            <x v="27"/>
          </reference>
          <reference field="25" count="1" selected="0">
            <x v="0"/>
          </reference>
        </references>
      </pivotArea>
    </format>
    <format dxfId="192">
      <pivotArea dataOnly="0" labelOnly="1" outline="0" fieldPosition="0">
        <references count="4">
          <reference field="4" count="1" selected="0">
            <x v="29"/>
          </reference>
          <reference field="6" count="1">
            <x v="5"/>
          </reference>
          <reference field="24" count="1" selected="0">
            <x v="17"/>
          </reference>
          <reference field="25" count="1" selected="0">
            <x v="0"/>
          </reference>
        </references>
      </pivotArea>
    </format>
    <format dxfId="193">
      <pivotArea dataOnly="0" labelOnly="1" outline="0" fieldPosition="0">
        <references count="4">
          <reference field="4" count="1" selected="0">
            <x v="31"/>
          </reference>
          <reference field="6" count="1">
            <x v="12"/>
          </reference>
          <reference field="24" count="1" selected="0">
            <x v="4"/>
          </reference>
          <reference field="25" count="1" selected="0">
            <x v="0"/>
          </reference>
        </references>
      </pivotArea>
    </format>
    <format dxfId="194">
      <pivotArea dataOnly="0" labelOnly="1" outline="0" fieldPosition="0">
        <references count="4">
          <reference field="4" count="1" selected="0">
            <x v="32"/>
          </reference>
          <reference field="6" count="1">
            <x v="1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95">
      <pivotArea dataOnly="0" labelOnly="1" outline="0" fieldPosition="0">
        <references count="4">
          <reference field="4" count="1" selected="0">
            <x v="33"/>
          </reference>
          <reference field="6" count="1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96">
      <pivotArea dataOnly="0" labelOnly="1" outline="0" fieldPosition="0">
        <references count="4">
          <reference field="4" count="1" selected="0">
            <x v="35"/>
          </reference>
          <reference field="6" count="1">
            <x v="19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97">
      <pivotArea dataOnly="0" labelOnly="1" outline="0" fieldPosition="0">
        <references count="4">
          <reference field="4" count="1" selected="0">
            <x v="36"/>
          </reference>
          <reference field="6" count="1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198">
      <pivotArea dataOnly="0" labelOnly="1" outline="0" fieldPosition="0">
        <references count="4">
          <reference field="4" count="1" selected="0">
            <x v="39"/>
          </reference>
          <reference field="6" count="1">
            <x v="1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199">
      <pivotArea dataOnly="0" labelOnly="1" outline="0" fieldPosition="0">
        <references count="4">
          <reference field="4" count="1" selected="0">
            <x v="41"/>
          </reference>
          <reference field="6" count="1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00">
      <pivotArea dataOnly="0" labelOnly="1" outline="0" fieldPosition="0">
        <references count="4">
          <reference field="4" count="1" selected="0">
            <x v="43"/>
          </reference>
          <reference field="6" count="1">
            <x v="22"/>
          </reference>
          <reference field="24" count="1" selected="0">
            <x v="13"/>
          </reference>
          <reference field="25" count="1" selected="0">
            <x v="0"/>
          </reference>
        </references>
      </pivotArea>
    </format>
    <format dxfId="201">
      <pivotArea dataOnly="0" labelOnly="1" outline="0" fieldPosition="0">
        <references count="4">
          <reference field="4" count="1" selected="0">
            <x v="44"/>
          </reference>
          <reference field="6" count="1">
            <x v="7"/>
          </reference>
          <reference field="24" count="1" selected="0">
            <x v="21"/>
          </reference>
          <reference field="25" count="1" selected="0">
            <x v="0"/>
          </reference>
        </references>
      </pivotArea>
    </format>
    <format dxfId="202">
      <pivotArea dataOnly="0" labelOnly="1" outline="0" fieldPosition="0">
        <references count="4">
          <reference field="4" count="1" selected="0">
            <x v="45"/>
          </reference>
          <reference field="6" count="1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203">
      <pivotArea dataOnly="0" labelOnly="1" outline="0" fieldPosition="0">
        <references count="4">
          <reference field="4" count="1" selected="0">
            <x v="50"/>
          </reference>
          <reference field="6" count="1">
            <x v="1"/>
          </reference>
          <reference field="24" count="1" selected="0">
            <x v="29"/>
          </reference>
          <reference field="25" count="1" selected="0">
            <x v="0"/>
          </reference>
        </references>
      </pivotArea>
    </format>
    <format dxfId="204">
      <pivotArea dataOnly="0" labelOnly="1" outline="0" fieldPosition="0">
        <references count="4">
          <reference field="4" count="1" selected="0">
            <x v="51"/>
          </reference>
          <reference field="6" count="1">
            <x v="2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205">
      <pivotArea dataOnly="0" labelOnly="1" outline="0" fieldPosition="0">
        <references count="4">
          <reference field="4" count="1" selected="0">
            <x v="53"/>
          </reference>
          <reference field="6" count="1">
            <x v="1"/>
          </reference>
          <reference field="24" count="1" selected="0">
            <x v="10"/>
          </reference>
          <reference field="25" count="1" selected="0">
            <x v="0"/>
          </reference>
        </references>
      </pivotArea>
    </format>
    <format dxfId="206">
      <pivotArea dataOnly="0" labelOnly="1" outline="0" fieldPosition="0">
        <references count="4">
          <reference field="4" count="1" selected="0">
            <x v="54"/>
          </reference>
          <reference field="6" count="1">
            <x v="12"/>
          </reference>
          <reference field="24" count="1" selected="0">
            <x v="16"/>
          </reference>
          <reference field="25" count="1" selected="0">
            <x v="0"/>
          </reference>
        </references>
      </pivotArea>
    </format>
    <format dxfId="207">
      <pivotArea dataOnly="0" labelOnly="1" outline="0" fieldPosition="0">
        <references count="4">
          <reference field="4" count="1" selected="0">
            <x v="55"/>
          </reference>
          <reference field="6" count="1">
            <x v="2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08">
      <pivotArea dataOnly="0" labelOnly="1" outline="0" fieldPosition="0">
        <references count="4">
          <reference field="4" count="1" selected="0">
            <x v="56"/>
          </reference>
          <reference field="6" count="1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09">
      <pivotArea dataOnly="0" labelOnly="1" outline="0" fieldPosition="0">
        <references count="4">
          <reference field="4" count="1" selected="0">
            <x v="58"/>
          </reference>
          <reference field="6" count="1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210">
      <pivotArea dataOnly="0" labelOnly="1" outline="0" fieldPosition="0">
        <references count="4">
          <reference field="4" count="1" selected="0">
            <x v="59"/>
          </reference>
          <reference field="6" count="1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211">
      <pivotArea dataOnly="0" labelOnly="1" outline="0" fieldPosition="0">
        <references count="5">
          <reference field="2" count="1">
            <x v="0"/>
          </reference>
          <reference field="4" count="1" selected="0">
            <x v="2"/>
          </reference>
          <reference field="6" count="1" selected="0">
            <x v="17"/>
          </reference>
          <reference field="24" count="1" selected="0">
            <x v="30"/>
          </reference>
          <reference field="25" count="1" selected="0">
            <x v="0"/>
          </reference>
        </references>
      </pivotArea>
    </format>
    <format dxfId="212">
      <pivotArea dataOnly="0" labelOnly="1" outline="0" fieldPosition="0">
        <references count="5">
          <reference field="2" count="1">
            <x v="3"/>
          </reference>
          <reference field="4" count="1" selected="0">
            <x v="8"/>
          </reference>
          <reference field="6" count="1" selected="0">
            <x v="2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13">
      <pivotArea dataOnly="0" labelOnly="1" outline="0" fieldPosition="0">
        <references count="5">
          <reference field="2" count="1">
            <x v="1"/>
          </reference>
          <reference field="4" count="1" selected="0">
            <x v="9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214">
      <pivotArea dataOnly="0" labelOnly="1" outline="0" fieldPosition="0">
        <references count="5">
          <reference field="2" count="1">
            <x v="3"/>
          </reference>
          <reference field="4" count="1" selected="0">
            <x v="12"/>
          </reference>
          <reference field="6" count="1" selected="0">
            <x v="2"/>
          </reference>
          <reference field="24" count="1" selected="0">
            <x v="8"/>
          </reference>
          <reference field="25" count="1" selected="0">
            <x v="0"/>
          </reference>
        </references>
      </pivotArea>
    </format>
    <format dxfId="215">
      <pivotArea dataOnly="0" labelOnly="1" outline="0" fieldPosition="0">
        <references count="5">
          <reference field="2" count="1">
            <x v="1"/>
          </reference>
          <reference field="4" count="1" selected="0">
            <x v="13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</references>
      </pivotArea>
    </format>
    <format dxfId="216">
      <pivotArea dataOnly="0" labelOnly="1" outline="0" fieldPosition="0">
        <references count="5">
          <reference field="2" count="1">
            <x v="3"/>
          </reference>
          <reference field="4" count="1" selected="0">
            <x v="17"/>
          </reference>
          <reference field="6" count="1" selected="0">
            <x v="1"/>
          </reference>
          <reference field="24" count="1" selected="0">
            <x v="11"/>
          </reference>
          <reference field="25" count="1" selected="0">
            <x v="0"/>
          </reference>
        </references>
      </pivotArea>
    </format>
    <format dxfId="217">
      <pivotArea dataOnly="0" labelOnly="1" outline="0" fieldPosition="0">
        <references count="5">
          <reference field="2" count="1">
            <x v="0"/>
          </reference>
          <reference field="4" count="1" selected="0">
            <x v="20"/>
          </reference>
          <reference field="6" count="1" selected="0">
            <x v="1"/>
          </reference>
          <reference field="24" count="1" selected="0">
            <x v="32"/>
          </reference>
          <reference field="25" count="1" selected="0">
            <x v="0"/>
          </reference>
        </references>
      </pivotArea>
    </format>
    <format dxfId="218">
      <pivotArea dataOnly="0" labelOnly="1" outline="0" fieldPosition="0">
        <references count="5">
          <reference field="2" count="1">
            <x v="1"/>
          </reference>
          <reference field="4" count="1" selected="0">
            <x v="21"/>
          </reference>
          <reference field="6" count="1" selected="0">
            <x v="1"/>
          </reference>
          <reference field="24" count="1" selected="0">
            <x v="5"/>
          </reference>
          <reference field="25" count="1" selected="0">
            <x v="0"/>
          </reference>
        </references>
      </pivotArea>
    </format>
    <format dxfId="219">
      <pivotArea dataOnly="0" labelOnly="1" outline="0" fieldPosition="0">
        <references count="5">
          <reference field="2" count="1">
            <x v="3"/>
          </reference>
          <reference field="4" count="1" selected="0">
            <x v="22"/>
          </reference>
          <reference field="6" count="1" selected="0">
            <x v="6"/>
          </reference>
          <reference field="24" count="1" selected="0">
            <x v="2"/>
          </reference>
          <reference field="25" count="1" selected="0">
            <x v="0"/>
          </reference>
        </references>
      </pivotArea>
    </format>
    <format dxfId="220">
      <pivotArea dataOnly="0" labelOnly="1" outline="0" fieldPosition="0">
        <references count="5">
          <reference field="2" count="1">
            <x v="0"/>
          </reference>
          <reference field="4" count="1" selected="0">
            <x v="27"/>
          </reference>
          <reference field="6" count="1" selected="0">
            <x v="26"/>
          </reference>
          <reference field="24" count="1" selected="0">
            <x v="27"/>
          </reference>
          <reference field="25" count="1" selected="0">
            <x v="0"/>
          </reference>
        </references>
      </pivotArea>
    </format>
    <format dxfId="221">
      <pivotArea dataOnly="0" labelOnly="1" outline="0" fieldPosition="0">
        <references count="5">
          <reference field="2" count="1">
            <x v="1"/>
          </reference>
          <reference field="4" count="1" selected="0">
            <x v="29"/>
          </reference>
          <reference field="6" count="1" selected="0">
            <x v="5"/>
          </reference>
          <reference field="24" count="1" selected="0">
            <x v="17"/>
          </reference>
          <reference field="25" count="1" selected="0">
            <x v="0"/>
          </reference>
        </references>
      </pivotArea>
    </format>
    <format dxfId="222">
      <pivotArea dataOnly="0" labelOnly="1" outline="0" fieldPosition="0">
        <references count="5">
          <reference field="2" count="1">
            <x v="3"/>
          </reference>
          <reference field="4" count="1" selected="0">
            <x v="31"/>
          </reference>
          <reference field="6" count="1" selected="0">
            <x v="12"/>
          </reference>
          <reference field="24" count="1" selected="0">
            <x v="4"/>
          </reference>
          <reference field="25" count="1" selected="0">
            <x v="0"/>
          </reference>
        </references>
      </pivotArea>
    </format>
    <format dxfId="223">
      <pivotArea dataOnly="0" labelOnly="1" outline="0" fieldPosition="0">
        <references count="5">
          <reference field="2" count="1">
            <x v="0"/>
          </reference>
          <reference field="4" count="1" selected="0">
            <x v="32"/>
          </reference>
          <reference field="6" count="1" selected="0">
            <x v="1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24">
      <pivotArea dataOnly="0" labelOnly="1" outline="0" fieldPosition="0">
        <references count="5">
          <reference field="2" count="1">
            <x v="3"/>
          </reference>
          <reference field="4" count="1" selected="0">
            <x v="33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25">
      <pivotArea dataOnly="0" labelOnly="1" outline="0" fieldPosition="0">
        <references count="5">
          <reference field="2" count="1">
            <x v="0"/>
          </reference>
          <reference field="4" count="1" selected="0">
            <x v="36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226">
      <pivotArea dataOnly="0" labelOnly="1" outline="0" fieldPosition="0">
        <references count="5">
          <reference field="2" count="1">
            <x v="2"/>
          </reference>
          <reference field="4" count="1" selected="0">
            <x v="39"/>
          </reference>
          <reference field="6" count="1" selected="0">
            <x v="16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27">
      <pivotArea dataOnly="0" labelOnly="1" outline="0" fieldPosition="0">
        <references count="5">
          <reference field="2" count="1">
            <x v="3"/>
          </reference>
          <reference field="4" count="1" selected="0">
            <x v="41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28">
      <pivotArea dataOnly="0" labelOnly="1" outline="0" fieldPosition="0">
        <references count="5">
          <reference field="2" count="1">
            <x v="2"/>
          </reference>
          <reference field="4" count="1" selected="0">
            <x v="43"/>
          </reference>
          <reference field="6" count="1" selected="0">
            <x v="22"/>
          </reference>
          <reference field="24" count="1" selected="0">
            <x v="13"/>
          </reference>
          <reference field="25" count="1" selected="0">
            <x v="0"/>
          </reference>
        </references>
      </pivotArea>
    </format>
    <format dxfId="229">
      <pivotArea dataOnly="0" labelOnly="1" outline="0" fieldPosition="0">
        <references count="5">
          <reference field="2" count="1">
            <x v="0"/>
          </reference>
          <reference field="4" count="1" selected="0">
            <x v="45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230">
      <pivotArea dataOnly="0" labelOnly="1" outline="0" fieldPosition="0">
        <references count="5">
          <reference field="2" count="1">
            <x v="3"/>
          </reference>
          <reference field="4" count="1" selected="0">
            <x v="53"/>
          </reference>
          <reference field="6" count="1" selected="0">
            <x v="1"/>
          </reference>
          <reference field="24" count="1" selected="0">
            <x v="10"/>
          </reference>
          <reference field="25" count="1" selected="0">
            <x v="0"/>
          </reference>
        </references>
      </pivotArea>
    </format>
    <format dxfId="231">
      <pivotArea dataOnly="0" labelOnly="1" outline="0" fieldPosition="0">
        <references count="5">
          <reference field="2" count="1">
            <x v="0"/>
          </reference>
          <reference field="4" count="1" selected="0">
            <x v="54"/>
          </reference>
          <reference field="6" count="1" selected="0">
            <x v="12"/>
          </reference>
          <reference field="24" count="1" selected="0">
            <x v="16"/>
          </reference>
          <reference field="25" count="1" selected="0">
            <x v="0"/>
          </reference>
        </references>
      </pivotArea>
    </format>
    <format dxfId="232">
      <pivotArea dataOnly="0" labelOnly="1" outline="0" fieldPosition="0">
        <references count="5">
          <reference field="2" count="1">
            <x v="3"/>
          </reference>
          <reference field="4" count="1" selected="0">
            <x v="55"/>
          </reference>
          <reference field="6" count="1" selected="0">
            <x v="2"/>
          </reference>
          <reference field="24" count="1" selected="0">
            <x v="1"/>
          </reference>
          <reference field="25" count="1" selected="0">
            <x v="0"/>
          </reference>
        </references>
      </pivotArea>
    </format>
    <format dxfId="233">
      <pivotArea dataOnly="0" labelOnly="1" outline="0" fieldPosition="0">
        <references count="5">
          <reference field="2" count="1">
            <x v="0"/>
          </reference>
          <reference field="4" count="1" selected="0">
            <x v="58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</references>
      </pivotArea>
    </format>
    <format dxfId="234">
      <pivotArea dataOnly="0" labelOnly="1" outline="0" fieldPosition="0">
        <references count="5">
          <reference field="2" count="1">
            <x v="3"/>
          </reference>
          <reference field="4" count="1" selected="0">
            <x v="59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</references>
      </pivotArea>
    </format>
    <format dxfId="235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2"/>
          </reference>
          <reference field="6" count="1" selected="0">
            <x v="17"/>
          </reference>
          <reference field="24" count="1" selected="0">
            <x v="30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236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4"/>
          </reference>
          <reference field="6" count="1" selected="0">
            <x v="19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2"/>
          </reference>
        </references>
      </pivotArea>
    </format>
    <format dxfId="237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"/>
          </reference>
          <reference field="6" count="1" selected="0">
            <x v="25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38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6"/>
          </reference>
          <reference field="6" count="1" selected="0">
            <x v="1"/>
          </reference>
          <reference field="24" count="1" selected="0">
            <x v="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39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8"/>
          </reference>
          <reference field="6" count="1" selected="0">
            <x v="26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40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9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41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10"/>
          </reference>
          <reference field="6" count="1" selected="0">
            <x v="9"/>
          </reference>
          <reference field="24" count="1" selected="0">
            <x v="17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242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12"/>
          </reference>
          <reference field="6" count="1" selected="0">
            <x v="2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43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13"/>
          </reference>
          <reference field="6" count="1" selected="0">
            <x v="1"/>
          </reference>
          <reference field="24" count="1" selected="0">
            <x v="1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44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17"/>
          </reference>
          <reference field="6" count="1" selected="0">
            <x v="1"/>
          </reference>
          <reference field="24" count="1" selected="0">
            <x v="1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45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18"/>
          </reference>
          <reference field="6" count="1" selected="0">
            <x v="15"/>
          </reference>
          <reference field="24" count="1" selected="0">
            <x v="0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246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20"/>
          </reference>
          <reference field="6" count="1" selected="0">
            <x v="1"/>
          </reference>
          <reference field="24" count="1" selected="0">
            <x v="32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47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21"/>
          </reference>
          <reference field="6" count="1" selected="0">
            <x v="1"/>
          </reference>
          <reference field="24" count="1" selected="0">
            <x v="5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48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22"/>
          </reference>
          <reference field="6" count="1" selected="0">
            <x v="6"/>
          </reference>
          <reference field="24" count="1" selected="0">
            <x v="2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249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27"/>
          </reference>
          <reference field="6" count="1" selected="0">
            <x v="26"/>
          </reference>
          <reference field="24" count="1" selected="0">
            <x v="27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50">
      <pivotArea dataOnly="0" labelOnly="1" outline="0" fieldPosition="0">
        <references count="6">
          <reference field="2" count="1" selected="0">
            <x v="1"/>
          </reference>
          <reference field="4" count="1" selected="0">
            <x v="29"/>
          </reference>
          <reference field="6" count="1" selected="0">
            <x v="5"/>
          </reference>
          <reference field="24" count="1" selected="0">
            <x v="17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251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31"/>
          </reference>
          <reference field="6" count="1" selected="0">
            <x v="12"/>
          </reference>
          <reference field="24" count="1" selected="0">
            <x v="4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252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32"/>
          </reference>
          <reference field="6" count="1" selected="0">
            <x v="1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53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33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5"/>
          </reference>
        </references>
      </pivotArea>
    </format>
    <format dxfId="254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35"/>
          </reference>
          <reference field="6" count="1" selected="0">
            <x v="19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2"/>
          </reference>
        </references>
      </pivotArea>
    </format>
    <format dxfId="255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36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56">
      <pivotArea dataOnly="0" labelOnly="1" outline="0" fieldPosition="0">
        <references count="6">
          <reference field="2" count="1" selected="0">
            <x v="2"/>
          </reference>
          <reference field="4" count="1" selected="0">
            <x v="39"/>
          </reference>
          <reference field="6" count="1" selected="0">
            <x v="16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257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41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5"/>
          </reference>
        </references>
      </pivotArea>
    </format>
    <format dxfId="258">
      <pivotArea dataOnly="0" labelOnly="1" outline="0" fieldPosition="0">
        <references count="6">
          <reference field="2" count="1" selected="0">
            <x v="2"/>
          </reference>
          <reference field="4" count="1" selected="0">
            <x v="43"/>
          </reference>
          <reference field="6" count="1" selected="0">
            <x v="22"/>
          </reference>
          <reference field="24" count="1" selected="0">
            <x v="13"/>
          </reference>
          <reference field="25" count="1" selected="0">
            <x v="0"/>
          </reference>
          <reference field="26" count="1">
            <x v="1"/>
          </reference>
        </references>
      </pivotArea>
    </format>
    <format dxfId="259">
      <pivotArea dataOnly="0" labelOnly="1" outline="0" fieldPosition="0">
        <references count="6">
          <reference field="2" count="1" selected="0">
            <x v="2"/>
          </reference>
          <reference field="4" count="1" selected="0">
            <x v="44"/>
          </reference>
          <reference field="6" count="1" selected="0">
            <x v="7"/>
          </reference>
          <reference field="24" count="1" selected="0">
            <x v="2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0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45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1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0"/>
          </reference>
          <reference field="6" count="1" selected="0">
            <x v="1"/>
          </reference>
          <reference field="24" count="1" selected="0">
            <x v="29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2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1"/>
          </reference>
          <reference field="6" count="1" selected="0">
            <x v="2"/>
          </reference>
          <reference field="24" count="1" selected="0">
            <x v="8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3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3"/>
          </reference>
          <reference field="6" count="1" selected="0">
            <x v="1"/>
          </reference>
          <reference field="24" count="1" selected="0">
            <x v="10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4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4"/>
          </reference>
          <reference field="6" count="1" selected="0">
            <x v="12"/>
          </reference>
          <reference field="24" count="1" selected="0">
            <x v="16"/>
          </reference>
          <reference field="25" count="1" selected="0">
            <x v="0"/>
          </reference>
          <reference field="26" count="1">
            <x v="4"/>
          </reference>
        </references>
      </pivotArea>
    </format>
    <format dxfId="265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5"/>
          </reference>
          <reference field="6" count="1" selected="0">
            <x v="2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6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6"/>
          </reference>
          <reference field="6" count="1" selected="0">
            <x v="20"/>
          </reference>
          <reference field="24" count="1" selected="0">
            <x v="1"/>
          </reference>
          <reference field="25" count="1" selected="0">
            <x v="0"/>
          </reference>
          <reference field="26" count="1">
            <x v="5"/>
          </reference>
        </references>
      </pivotArea>
    </format>
    <format dxfId="267">
      <pivotArea dataOnly="0" labelOnly="1" outline="0" fieldPosition="0">
        <references count="6">
          <reference field="2" count="1" selected="0">
            <x v="0"/>
          </reference>
          <reference field="4" count="1" selected="0">
            <x v="58"/>
          </reference>
          <reference field="6" count="1" selected="0">
            <x v="2"/>
          </reference>
          <reference field="24" count="1" selected="0">
            <x v="20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8">
      <pivotArea dataOnly="0" labelOnly="1" outline="0" fieldPosition="0">
        <references count="6">
          <reference field="2" count="1" selected="0">
            <x v="3"/>
          </reference>
          <reference field="4" count="1" selected="0">
            <x v="59"/>
          </reference>
          <reference field="6" count="1" selected="0">
            <x v="10"/>
          </reference>
          <reference field="24" count="1" selected="0">
            <x v="33"/>
          </reference>
          <reference field="25" count="1" selected="0">
            <x v="0"/>
          </reference>
          <reference field="26" count="1">
            <x v="3"/>
          </reference>
        </references>
      </pivotArea>
    </format>
    <format dxfId="269">
      <pivotArea outline="0" fieldPosition="0">
        <references count="6">
          <reference field="2" count="0" selected="0"/>
          <reference field="4" count="34" selected="0">
            <x v="2"/>
            <x v="4"/>
            <x v="5"/>
            <x v="6"/>
            <x v="8"/>
            <x v="9"/>
            <x v="10"/>
            <x v="12"/>
            <x v="13"/>
            <x v="17"/>
            <x v="18"/>
            <x v="20"/>
            <x v="21"/>
            <x v="22"/>
            <x v="27"/>
            <x v="29"/>
            <x v="31"/>
            <x v="32"/>
            <x v="33"/>
            <x v="35"/>
            <x v="36"/>
            <x v="39"/>
            <x v="41"/>
            <x v="43"/>
            <x v="44"/>
            <x v="45"/>
            <x v="50"/>
            <x v="51"/>
            <x v="53"/>
            <x v="54"/>
            <x v="55"/>
            <x v="56"/>
            <x v="58"/>
            <x v="59"/>
          </reference>
          <reference field="6" count="16" selected="0">
            <x v="1"/>
            <x v="2"/>
            <x v="5"/>
            <x v="6"/>
            <x v="7"/>
            <x v="9"/>
            <x v="10"/>
            <x v="12"/>
            <x v="15"/>
            <x v="16"/>
            <x v="17"/>
            <x v="19"/>
            <x v="20"/>
            <x v="22"/>
            <x v="25"/>
            <x v="26"/>
          </reference>
          <reference field="24" count="20" selected="0">
            <x v="0"/>
            <x v="1"/>
            <x v="2"/>
            <x v="4"/>
            <x v="5"/>
            <x v="8"/>
            <x v="9"/>
            <x v="10"/>
            <x v="11"/>
            <x v="13"/>
            <x v="16"/>
            <x v="17"/>
            <x v="19"/>
            <x v="20"/>
            <x v="21"/>
            <x v="27"/>
            <x v="29"/>
            <x v="30"/>
            <x v="32"/>
            <x v="33"/>
          </reference>
          <reference field="25" count="1" selected="0">
            <x v="0"/>
          </reference>
          <reference field="26" count="5" selected="0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8" type="dateBetween" evalOrder="-1" id="300" name="Mois paiement">
      <autoFilter ref="A1">
        <filterColumn colId="0">
          <customFilters and="1">
            <customFilter operator="greaterThanOrEqual" val="45658"/>
            <customFilter operator="lessThanOrEqual" val="4568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Mois_paiement" xr10:uid="{2CB80F83-027E-4A31-BAF4-AA91FD41B8E7}" sourceName="Mois paiement">
  <pivotTables>
    <pivotTable tabId="1" name="Tableau croisé dynamique1"/>
    <pivotTable tabId="1" name="Tableau croisé dynamique2"/>
  </pivotTables>
  <state minimalRefreshVersion="6" lastRefreshVersion="6" pivotCacheId="2006453439" filterType="dateBetween">
    <selection startDate="2025-01-01T00:00:00" endDate="2025-01-31T00:00:00"/>
    <bounds startDate="2019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ois paiement" xr10:uid="{273A90AC-E2CA-4C91-A10C-0B78BE89867A}" cache="ChronologieNative_Mois_paiement" caption="Mois paiement" level="2" selectionLevel="2" scrollPosition="2024-09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DB97-81E1-4282-BF9B-F813A07C7EE1}">
  <sheetPr codeName="Feuil36">
    <pageSetUpPr fitToPage="1"/>
  </sheetPr>
  <dimension ref="A1:AF964"/>
  <sheetViews>
    <sheetView tabSelected="1" view="pageBreakPreview" topLeftCell="A21" zoomScale="90" zoomScaleNormal="100" zoomScaleSheetLayoutView="90" workbookViewId="0">
      <selection activeCell="B45" sqref="B45"/>
    </sheetView>
  </sheetViews>
  <sheetFormatPr baseColWidth="10" defaultColWidth="11.25" defaultRowHeight="14.25" x14ac:dyDescent="0.2"/>
  <cols>
    <col min="1" max="1" width="40.375" style="5" customWidth="1"/>
    <col min="2" max="2" width="33.75" style="5" customWidth="1"/>
    <col min="3" max="3" width="26.5" style="5" bestFit="1" customWidth="1"/>
    <col min="4" max="4" width="23.375" style="5" bestFit="1" customWidth="1"/>
    <col min="5" max="5" width="14.5" style="5" bestFit="1" customWidth="1"/>
    <col min="6" max="6" width="8.875" style="5" bestFit="1" customWidth="1"/>
    <col min="7" max="12" width="11.25" style="5"/>
    <col min="13" max="13" width="5.125" style="5" bestFit="1" customWidth="1"/>
    <col min="14" max="15" width="23.375" style="5" bestFit="1" customWidth="1"/>
    <col min="16" max="16" width="13.875" style="5" bestFit="1" customWidth="1"/>
    <col min="17" max="17" width="18.25" style="5" bestFit="1" customWidth="1"/>
    <col min="18" max="18" width="10.375" style="5" bestFit="1" customWidth="1"/>
    <col min="19" max="19" width="12" style="5" bestFit="1" customWidth="1"/>
    <col min="20" max="20" width="17.5" style="5" bestFit="1" customWidth="1"/>
    <col min="21" max="21" width="8.875" style="5" bestFit="1" customWidth="1"/>
    <col min="22" max="22" width="9" style="5" bestFit="1" customWidth="1"/>
    <col min="23" max="23" width="16" style="5" bestFit="1" customWidth="1"/>
    <col min="24" max="24" width="10.5" style="5" bestFit="1" customWidth="1"/>
    <col min="25" max="25" width="10.75" style="5" bestFit="1" customWidth="1"/>
    <col min="26" max="26" width="21.375" style="5" bestFit="1" customWidth="1"/>
    <col min="27" max="27" width="19.5" style="5" bestFit="1" customWidth="1"/>
    <col min="28" max="28" width="8.875" style="5" bestFit="1" customWidth="1"/>
    <col min="29" max="29" width="12.5" style="5" bestFit="1" customWidth="1"/>
    <col min="30" max="30" width="11.5" style="5" bestFit="1" customWidth="1"/>
    <col min="31" max="31" width="28.625" style="5" bestFit="1" customWidth="1"/>
    <col min="32" max="32" width="29.75" style="5" bestFit="1" customWidth="1"/>
    <col min="33" max="33" width="8.875" style="5" bestFit="1" customWidth="1"/>
    <col min="34" max="34" width="12.5" style="5" bestFit="1" customWidth="1"/>
    <col min="35" max="35" width="11.875" style="5" bestFit="1" customWidth="1"/>
    <col min="36" max="36" width="11.5" style="5" bestFit="1" customWidth="1"/>
    <col min="37" max="37" width="29.75" style="5" bestFit="1" customWidth="1"/>
    <col min="38" max="39" width="23.625" style="5" customWidth="1"/>
    <col min="40" max="40" width="47" style="5" bestFit="1" customWidth="1"/>
    <col min="41" max="41" width="49" style="5" bestFit="1" customWidth="1"/>
    <col min="42" max="42" width="17.625" style="5" bestFit="1" customWidth="1"/>
    <col min="43" max="43" width="9" style="5" bestFit="1" customWidth="1"/>
    <col min="44" max="44" width="10.75" style="5" bestFit="1" customWidth="1"/>
    <col min="45" max="45" width="15.375" style="5" customWidth="1"/>
    <col min="46" max="46" width="16.625" style="5" bestFit="1" customWidth="1"/>
    <col min="47" max="47" width="17.625" style="5" bestFit="1" customWidth="1"/>
    <col min="48" max="48" width="25.875" style="5" bestFit="1" customWidth="1"/>
    <col min="49" max="49" width="35" style="5" bestFit="1" customWidth="1"/>
    <col min="50" max="50" width="36.625" style="5" bestFit="1" customWidth="1"/>
    <col min="51" max="51" width="43" style="5" bestFit="1" customWidth="1"/>
    <col min="52" max="53" width="19.625" style="5" bestFit="1" customWidth="1"/>
    <col min="54" max="54" width="30" style="5" bestFit="1" customWidth="1"/>
    <col min="55" max="55" width="16.375" style="5" bestFit="1" customWidth="1"/>
    <col min="56" max="57" width="23.75" style="5" bestFit="1" customWidth="1"/>
    <col min="58" max="58" width="13.375" style="5" bestFit="1" customWidth="1"/>
    <col min="59" max="59" width="20.625" style="5" bestFit="1" customWidth="1"/>
    <col min="60" max="60" width="21.5" style="5" bestFit="1" customWidth="1"/>
    <col min="61" max="61" width="22" style="5" bestFit="1" customWidth="1"/>
    <col min="62" max="62" width="19.25" style="5" bestFit="1" customWidth="1"/>
    <col min="63" max="63" width="35.375" style="5" bestFit="1" customWidth="1"/>
    <col min="64" max="64" width="31.125" style="5" bestFit="1" customWidth="1"/>
    <col min="65" max="65" width="27.625" style="5" bestFit="1" customWidth="1"/>
    <col min="66" max="66" width="36.125" style="5" bestFit="1" customWidth="1"/>
    <col min="67" max="67" width="9.5" style="5" bestFit="1" customWidth="1"/>
    <col min="68" max="68" width="7.875" style="5" bestFit="1" customWidth="1"/>
    <col min="69" max="69" width="17.625" style="5" bestFit="1" customWidth="1"/>
    <col min="70" max="70" width="58.875" style="5" bestFit="1" customWidth="1"/>
    <col min="71" max="71" width="59.25" style="5" bestFit="1" customWidth="1"/>
    <col min="72" max="72" width="58" style="5" bestFit="1" customWidth="1"/>
    <col min="73" max="73" width="58.25" style="5" bestFit="1" customWidth="1"/>
    <col min="74" max="74" width="55.625" style="5" bestFit="1" customWidth="1"/>
    <col min="75" max="75" width="58.25" style="5" bestFit="1" customWidth="1"/>
    <col min="76" max="76" width="59.625" style="5" bestFit="1" customWidth="1"/>
    <col min="77" max="77" width="61.5" style="5" bestFit="1" customWidth="1"/>
    <col min="78" max="78" width="41.25" style="5" bestFit="1" customWidth="1"/>
    <col min="79" max="79" width="41.5" style="5" bestFit="1" customWidth="1"/>
    <col min="80" max="80" width="40.375" style="5" bestFit="1" customWidth="1"/>
    <col min="81" max="81" width="40.625" style="5" bestFit="1" customWidth="1"/>
    <col min="82" max="82" width="37.875" style="5" bestFit="1" customWidth="1"/>
    <col min="83" max="83" width="40.625" style="5" bestFit="1" customWidth="1"/>
    <col min="84" max="84" width="41.875" style="5" bestFit="1" customWidth="1"/>
    <col min="85" max="85" width="43.875" style="5" bestFit="1" customWidth="1"/>
    <col min="86" max="86" width="47" style="5" bestFit="1" customWidth="1"/>
    <col min="87" max="87" width="47.25" style="5" bestFit="1" customWidth="1"/>
    <col min="88" max="88" width="46.125" style="5" bestFit="1" customWidth="1"/>
    <col min="89" max="89" width="46.375" style="5" bestFit="1" customWidth="1"/>
    <col min="90" max="90" width="41.375" style="5" bestFit="1" customWidth="1"/>
    <col min="91" max="91" width="44.125" style="5" bestFit="1" customWidth="1"/>
    <col min="92" max="92" width="45.375" style="5" bestFit="1" customWidth="1"/>
    <col min="93" max="93" width="47.25" style="5" bestFit="1" customWidth="1"/>
    <col min="94" max="94" width="54.625" style="5" bestFit="1" customWidth="1"/>
    <col min="95" max="95" width="52" style="5" bestFit="1" customWidth="1"/>
    <col min="96" max="96" width="53.25" style="5" bestFit="1" customWidth="1"/>
    <col min="97" max="97" width="53.5" style="5" bestFit="1" customWidth="1"/>
    <col min="98" max="98" width="52.375" style="5" bestFit="1" customWidth="1"/>
    <col min="99" max="99" width="52.625" style="5" bestFit="1" customWidth="1"/>
    <col min="100" max="100" width="44.875" style="5" bestFit="1" customWidth="1"/>
    <col min="101" max="101" width="54.375" style="5" bestFit="1" customWidth="1"/>
    <col min="102" max="102" width="49.125" style="5" bestFit="1" customWidth="1"/>
    <col min="103" max="103" width="55.375" style="5" bestFit="1" customWidth="1"/>
    <col min="104" max="104" width="32.25" style="5" bestFit="1" customWidth="1"/>
    <col min="105" max="105" width="32.5" style="5" bestFit="1" customWidth="1"/>
    <col min="106" max="106" width="31.375" style="5" bestFit="1" customWidth="1"/>
    <col min="107" max="107" width="31.625" style="5" bestFit="1" customWidth="1"/>
    <col min="108" max="108" width="24.25" style="5" bestFit="1" customWidth="1"/>
    <col min="109" max="109" width="30.5" style="5" bestFit="1" customWidth="1"/>
    <col min="110" max="110" width="25.125" style="5" bestFit="1" customWidth="1"/>
    <col min="111" max="111" width="31.5" style="5" bestFit="1" customWidth="1"/>
    <col min="112" max="112" width="25.875" style="5" bestFit="1" customWidth="1"/>
    <col min="113" max="113" width="35" style="5" bestFit="1" customWidth="1"/>
    <col min="114" max="114" width="36.625" style="5" bestFit="1" customWidth="1"/>
    <col min="115" max="115" width="27.625" style="5" bestFit="1" customWidth="1"/>
    <col min="116" max="116" width="36.75" style="5" bestFit="1" customWidth="1"/>
    <col min="117" max="117" width="39.5" style="5" bestFit="1" customWidth="1"/>
    <col min="118" max="118" width="42" style="5" bestFit="1" customWidth="1"/>
    <col min="119" max="119" width="51.125" style="5" bestFit="1" customWidth="1"/>
    <col min="120" max="120" width="53.75" style="5" bestFit="1" customWidth="1"/>
    <col min="121" max="121" width="21" style="5" bestFit="1" customWidth="1"/>
    <col min="122" max="260" width="11.25" style="5"/>
    <col min="261" max="261" width="18.5" style="5" customWidth="1"/>
    <col min="262" max="262" width="30.875" style="5" customWidth="1"/>
    <col min="263" max="263" width="15.25" style="5" customWidth="1"/>
    <col min="264" max="264" width="14.875" style="5" customWidth="1"/>
    <col min="265" max="516" width="11.25" style="5"/>
    <col min="517" max="517" width="18.5" style="5" customWidth="1"/>
    <col min="518" max="518" width="30.875" style="5" customWidth="1"/>
    <col min="519" max="519" width="15.25" style="5" customWidth="1"/>
    <col min="520" max="520" width="14.875" style="5" customWidth="1"/>
    <col min="521" max="772" width="11.25" style="5"/>
    <col min="773" max="773" width="18.5" style="5" customWidth="1"/>
    <col min="774" max="774" width="30.875" style="5" customWidth="1"/>
    <col min="775" max="775" width="15.25" style="5" customWidth="1"/>
    <col min="776" max="776" width="14.875" style="5" customWidth="1"/>
    <col min="777" max="1028" width="11.25" style="5"/>
    <col min="1029" max="1029" width="18.5" style="5" customWidth="1"/>
    <col min="1030" max="1030" width="30.875" style="5" customWidth="1"/>
    <col min="1031" max="1031" width="15.25" style="5" customWidth="1"/>
    <col min="1032" max="1032" width="14.875" style="5" customWidth="1"/>
    <col min="1033" max="1284" width="11.25" style="5"/>
    <col min="1285" max="1285" width="18.5" style="5" customWidth="1"/>
    <col min="1286" max="1286" width="30.875" style="5" customWidth="1"/>
    <col min="1287" max="1287" width="15.25" style="5" customWidth="1"/>
    <col min="1288" max="1288" width="14.875" style="5" customWidth="1"/>
    <col min="1289" max="1540" width="11.25" style="5"/>
    <col min="1541" max="1541" width="18.5" style="5" customWidth="1"/>
    <col min="1542" max="1542" width="30.875" style="5" customWidth="1"/>
    <col min="1543" max="1543" width="15.25" style="5" customWidth="1"/>
    <col min="1544" max="1544" width="14.875" style="5" customWidth="1"/>
    <col min="1545" max="1796" width="11.25" style="5"/>
    <col min="1797" max="1797" width="18.5" style="5" customWidth="1"/>
    <col min="1798" max="1798" width="30.875" style="5" customWidth="1"/>
    <col min="1799" max="1799" width="15.25" style="5" customWidth="1"/>
    <col min="1800" max="1800" width="14.875" style="5" customWidth="1"/>
    <col min="1801" max="2052" width="11.25" style="5"/>
    <col min="2053" max="2053" width="18.5" style="5" customWidth="1"/>
    <col min="2054" max="2054" width="30.875" style="5" customWidth="1"/>
    <col min="2055" max="2055" width="15.25" style="5" customWidth="1"/>
    <col min="2056" max="2056" width="14.875" style="5" customWidth="1"/>
    <col min="2057" max="2308" width="11.25" style="5"/>
    <col min="2309" max="2309" width="18.5" style="5" customWidth="1"/>
    <col min="2310" max="2310" width="30.875" style="5" customWidth="1"/>
    <col min="2311" max="2311" width="15.25" style="5" customWidth="1"/>
    <col min="2312" max="2312" width="14.875" style="5" customWidth="1"/>
    <col min="2313" max="2564" width="11.25" style="5"/>
    <col min="2565" max="2565" width="18.5" style="5" customWidth="1"/>
    <col min="2566" max="2566" width="30.875" style="5" customWidth="1"/>
    <col min="2567" max="2567" width="15.25" style="5" customWidth="1"/>
    <col min="2568" max="2568" width="14.875" style="5" customWidth="1"/>
    <col min="2569" max="2820" width="11.25" style="5"/>
    <col min="2821" max="2821" width="18.5" style="5" customWidth="1"/>
    <col min="2822" max="2822" width="30.875" style="5" customWidth="1"/>
    <col min="2823" max="2823" width="15.25" style="5" customWidth="1"/>
    <col min="2824" max="2824" width="14.875" style="5" customWidth="1"/>
    <col min="2825" max="3076" width="11.25" style="5"/>
    <col min="3077" max="3077" width="18.5" style="5" customWidth="1"/>
    <col min="3078" max="3078" width="30.875" style="5" customWidth="1"/>
    <col min="3079" max="3079" width="15.25" style="5" customWidth="1"/>
    <col min="3080" max="3080" width="14.875" style="5" customWidth="1"/>
    <col min="3081" max="3332" width="11.25" style="5"/>
    <col min="3333" max="3333" width="18.5" style="5" customWidth="1"/>
    <col min="3334" max="3334" width="30.875" style="5" customWidth="1"/>
    <col min="3335" max="3335" width="15.25" style="5" customWidth="1"/>
    <col min="3336" max="3336" width="14.875" style="5" customWidth="1"/>
    <col min="3337" max="3588" width="11.25" style="5"/>
    <col min="3589" max="3589" width="18.5" style="5" customWidth="1"/>
    <col min="3590" max="3590" width="30.875" style="5" customWidth="1"/>
    <col min="3591" max="3591" width="15.25" style="5" customWidth="1"/>
    <col min="3592" max="3592" width="14.875" style="5" customWidth="1"/>
    <col min="3593" max="3844" width="11.25" style="5"/>
    <col min="3845" max="3845" width="18.5" style="5" customWidth="1"/>
    <col min="3846" max="3846" width="30.875" style="5" customWidth="1"/>
    <col min="3847" max="3847" width="15.25" style="5" customWidth="1"/>
    <col min="3848" max="3848" width="14.875" style="5" customWidth="1"/>
    <col min="3849" max="4100" width="11.25" style="5"/>
    <col min="4101" max="4101" width="18.5" style="5" customWidth="1"/>
    <col min="4102" max="4102" width="30.875" style="5" customWidth="1"/>
    <col min="4103" max="4103" width="15.25" style="5" customWidth="1"/>
    <col min="4104" max="4104" width="14.875" style="5" customWidth="1"/>
    <col min="4105" max="4356" width="11.25" style="5"/>
    <col min="4357" max="4357" width="18.5" style="5" customWidth="1"/>
    <col min="4358" max="4358" width="30.875" style="5" customWidth="1"/>
    <col min="4359" max="4359" width="15.25" style="5" customWidth="1"/>
    <col min="4360" max="4360" width="14.875" style="5" customWidth="1"/>
    <col min="4361" max="4612" width="11.25" style="5"/>
    <col min="4613" max="4613" width="18.5" style="5" customWidth="1"/>
    <col min="4614" max="4614" width="30.875" style="5" customWidth="1"/>
    <col min="4615" max="4615" width="15.25" style="5" customWidth="1"/>
    <col min="4616" max="4616" width="14.875" style="5" customWidth="1"/>
    <col min="4617" max="4868" width="11.25" style="5"/>
    <col min="4869" max="4869" width="18.5" style="5" customWidth="1"/>
    <col min="4870" max="4870" width="30.875" style="5" customWidth="1"/>
    <col min="4871" max="4871" width="15.25" style="5" customWidth="1"/>
    <col min="4872" max="4872" width="14.875" style="5" customWidth="1"/>
    <col min="4873" max="5124" width="11.25" style="5"/>
    <col min="5125" max="5125" width="18.5" style="5" customWidth="1"/>
    <col min="5126" max="5126" width="30.875" style="5" customWidth="1"/>
    <col min="5127" max="5127" width="15.25" style="5" customWidth="1"/>
    <col min="5128" max="5128" width="14.875" style="5" customWidth="1"/>
    <col min="5129" max="5380" width="11.25" style="5"/>
    <col min="5381" max="5381" width="18.5" style="5" customWidth="1"/>
    <col min="5382" max="5382" width="30.875" style="5" customWidth="1"/>
    <col min="5383" max="5383" width="15.25" style="5" customWidth="1"/>
    <col min="5384" max="5384" width="14.875" style="5" customWidth="1"/>
    <col min="5385" max="5636" width="11.25" style="5"/>
    <col min="5637" max="5637" width="18.5" style="5" customWidth="1"/>
    <col min="5638" max="5638" width="30.875" style="5" customWidth="1"/>
    <col min="5639" max="5639" width="15.25" style="5" customWidth="1"/>
    <col min="5640" max="5640" width="14.875" style="5" customWidth="1"/>
    <col min="5641" max="5892" width="11.25" style="5"/>
    <col min="5893" max="5893" width="18.5" style="5" customWidth="1"/>
    <col min="5894" max="5894" width="30.875" style="5" customWidth="1"/>
    <col min="5895" max="5895" width="15.25" style="5" customWidth="1"/>
    <col min="5896" max="5896" width="14.875" style="5" customWidth="1"/>
    <col min="5897" max="6148" width="11.25" style="5"/>
    <col min="6149" max="6149" width="18.5" style="5" customWidth="1"/>
    <col min="6150" max="6150" width="30.875" style="5" customWidth="1"/>
    <col min="6151" max="6151" width="15.25" style="5" customWidth="1"/>
    <col min="6152" max="6152" width="14.875" style="5" customWidth="1"/>
    <col min="6153" max="6404" width="11.25" style="5"/>
    <col min="6405" max="6405" width="18.5" style="5" customWidth="1"/>
    <col min="6406" max="6406" width="30.875" style="5" customWidth="1"/>
    <col min="6407" max="6407" width="15.25" style="5" customWidth="1"/>
    <col min="6408" max="6408" width="14.875" style="5" customWidth="1"/>
    <col min="6409" max="6660" width="11.25" style="5"/>
    <col min="6661" max="6661" width="18.5" style="5" customWidth="1"/>
    <col min="6662" max="6662" width="30.875" style="5" customWidth="1"/>
    <col min="6663" max="6663" width="15.25" style="5" customWidth="1"/>
    <col min="6664" max="6664" width="14.875" style="5" customWidth="1"/>
    <col min="6665" max="6916" width="11.25" style="5"/>
    <col min="6917" max="6917" width="18.5" style="5" customWidth="1"/>
    <col min="6918" max="6918" width="30.875" style="5" customWidth="1"/>
    <col min="6919" max="6919" width="15.25" style="5" customWidth="1"/>
    <col min="6920" max="6920" width="14.875" style="5" customWidth="1"/>
    <col min="6921" max="7172" width="11.25" style="5"/>
    <col min="7173" max="7173" width="18.5" style="5" customWidth="1"/>
    <col min="7174" max="7174" width="30.875" style="5" customWidth="1"/>
    <col min="7175" max="7175" width="15.25" style="5" customWidth="1"/>
    <col min="7176" max="7176" width="14.875" style="5" customWidth="1"/>
    <col min="7177" max="7428" width="11.25" style="5"/>
    <col min="7429" max="7429" width="18.5" style="5" customWidth="1"/>
    <col min="7430" max="7430" width="30.875" style="5" customWidth="1"/>
    <col min="7431" max="7431" width="15.25" style="5" customWidth="1"/>
    <col min="7432" max="7432" width="14.875" style="5" customWidth="1"/>
    <col min="7433" max="7684" width="11.25" style="5"/>
    <col min="7685" max="7685" width="18.5" style="5" customWidth="1"/>
    <col min="7686" max="7686" width="30.875" style="5" customWidth="1"/>
    <col min="7687" max="7687" width="15.25" style="5" customWidth="1"/>
    <col min="7688" max="7688" width="14.875" style="5" customWidth="1"/>
    <col min="7689" max="7940" width="11.25" style="5"/>
    <col min="7941" max="7941" width="18.5" style="5" customWidth="1"/>
    <col min="7942" max="7942" width="30.875" style="5" customWidth="1"/>
    <col min="7943" max="7943" width="15.25" style="5" customWidth="1"/>
    <col min="7944" max="7944" width="14.875" style="5" customWidth="1"/>
    <col min="7945" max="8196" width="11.25" style="5"/>
    <col min="8197" max="8197" width="18.5" style="5" customWidth="1"/>
    <col min="8198" max="8198" width="30.875" style="5" customWidth="1"/>
    <col min="8199" max="8199" width="15.25" style="5" customWidth="1"/>
    <col min="8200" max="8200" width="14.875" style="5" customWidth="1"/>
    <col min="8201" max="8452" width="11.25" style="5"/>
    <col min="8453" max="8453" width="18.5" style="5" customWidth="1"/>
    <col min="8454" max="8454" width="30.875" style="5" customWidth="1"/>
    <col min="8455" max="8455" width="15.25" style="5" customWidth="1"/>
    <col min="8456" max="8456" width="14.875" style="5" customWidth="1"/>
    <col min="8457" max="8708" width="11.25" style="5"/>
    <col min="8709" max="8709" width="18.5" style="5" customWidth="1"/>
    <col min="8710" max="8710" width="30.875" style="5" customWidth="1"/>
    <col min="8711" max="8711" width="15.25" style="5" customWidth="1"/>
    <col min="8712" max="8712" width="14.875" style="5" customWidth="1"/>
    <col min="8713" max="8964" width="11.25" style="5"/>
    <col min="8965" max="8965" width="18.5" style="5" customWidth="1"/>
    <col min="8966" max="8966" width="30.875" style="5" customWidth="1"/>
    <col min="8967" max="8967" width="15.25" style="5" customWidth="1"/>
    <col min="8968" max="8968" width="14.875" style="5" customWidth="1"/>
    <col min="8969" max="9220" width="11.25" style="5"/>
    <col min="9221" max="9221" width="18.5" style="5" customWidth="1"/>
    <col min="9222" max="9222" width="30.875" style="5" customWidth="1"/>
    <col min="9223" max="9223" width="15.25" style="5" customWidth="1"/>
    <col min="9224" max="9224" width="14.875" style="5" customWidth="1"/>
    <col min="9225" max="9476" width="11.25" style="5"/>
    <col min="9477" max="9477" width="18.5" style="5" customWidth="1"/>
    <col min="9478" max="9478" width="30.875" style="5" customWidth="1"/>
    <col min="9479" max="9479" width="15.25" style="5" customWidth="1"/>
    <col min="9480" max="9480" width="14.875" style="5" customWidth="1"/>
    <col min="9481" max="9732" width="11.25" style="5"/>
    <col min="9733" max="9733" width="18.5" style="5" customWidth="1"/>
    <col min="9734" max="9734" width="30.875" style="5" customWidth="1"/>
    <col min="9735" max="9735" width="15.25" style="5" customWidth="1"/>
    <col min="9736" max="9736" width="14.875" style="5" customWidth="1"/>
    <col min="9737" max="9988" width="11.25" style="5"/>
    <col min="9989" max="9989" width="18.5" style="5" customWidth="1"/>
    <col min="9990" max="9990" width="30.875" style="5" customWidth="1"/>
    <col min="9991" max="9991" width="15.25" style="5" customWidth="1"/>
    <col min="9992" max="9992" width="14.875" style="5" customWidth="1"/>
    <col min="9993" max="10244" width="11.25" style="5"/>
    <col min="10245" max="10245" width="18.5" style="5" customWidth="1"/>
    <col min="10246" max="10246" width="30.875" style="5" customWidth="1"/>
    <col min="10247" max="10247" width="15.25" style="5" customWidth="1"/>
    <col min="10248" max="10248" width="14.875" style="5" customWidth="1"/>
    <col min="10249" max="10500" width="11.25" style="5"/>
    <col min="10501" max="10501" width="18.5" style="5" customWidth="1"/>
    <col min="10502" max="10502" width="30.875" style="5" customWidth="1"/>
    <col min="10503" max="10503" width="15.25" style="5" customWidth="1"/>
    <col min="10504" max="10504" width="14.875" style="5" customWidth="1"/>
    <col min="10505" max="10756" width="11.25" style="5"/>
    <col min="10757" max="10757" width="18.5" style="5" customWidth="1"/>
    <col min="10758" max="10758" width="30.875" style="5" customWidth="1"/>
    <col min="10759" max="10759" width="15.25" style="5" customWidth="1"/>
    <col min="10760" max="10760" width="14.875" style="5" customWidth="1"/>
    <col min="10761" max="11012" width="11.25" style="5"/>
    <col min="11013" max="11013" width="18.5" style="5" customWidth="1"/>
    <col min="11014" max="11014" width="30.875" style="5" customWidth="1"/>
    <col min="11015" max="11015" width="15.25" style="5" customWidth="1"/>
    <col min="11016" max="11016" width="14.875" style="5" customWidth="1"/>
    <col min="11017" max="11268" width="11.25" style="5"/>
    <col min="11269" max="11269" width="18.5" style="5" customWidth="1"/>
    <col min="11270" max="11270" width="30.875" style="5" customWidth="1"/>
    <col min="11271" max="11271" width="15.25" style="5" customWidth="1"/>
    <col min="11272" max="11272" width="14.875" style="5" customWidth="1"/>
    <col min="11273" max="11524" width="11.25" style="5"/>
    <col min="11525" max="11525" width="18.5" style="5" customWidth="1"/>
    <col min="11526" max="11526" width="30.875" style="5" customWidth="1"/>
    <col min="11527" max="11527" width="15.25" style="5" customWidth="1"/>
    <col min="11528" max="11528" width="14.875" style="5" customWidth="1"/>
    <col min="11529" max="11780" width="11.25" style="5"/>
    <col min="11781" max="11781" width="18.5" style="5" customWidth="1"/>
    <col min="11782" max="11782" width="30.875" style="5" customWidth="1"/>
    <col min="11783" max="11783" width="15.25" style="5" customWidth="1"/>
    <col min="11784" max="11784" width="14.875" style="5" customWidth="1"/>
    <col min="11785" max="12036" width="11.25" style="5"/>
    <col min="12037" max="12037" width="18.5" style="5" customWidth="1"/>
    <col min="12038" max="12038" width="30.875" style="5" customWidth="1"/>
    <col min="12039" max="12039" width="15.25" style="5" customWidth="1"/>
    <col min="12040" max="12040" width="14.875" style="5" customWidth="1"/>
    <col min="12041" max="12292" width="11.25" style="5"/>
    <col min="12293" max="12293" width="18.5" style="5" customWidth="1"/>
    <col min="12294" max="12294" width="30.875" style="5" customWidth="1"/>
    <col min="12295" max="12295" width="15.25" style="5" customWidth="1"/>
    <col min="12296" max="12296" width="14.875" style="5" customWidth="1"/>
    <col min="12297" max="12548" width="11.25" style="5"/>
    <col min="12549" max="12549" width="18.5" style="5" customWidth="1"/>
    <col min="12550" max="12550" width="30.875" style="5" customWidth="1"/>
    <col min="12551" max="12551" width="15.25" style="5" customWidth="1"/>
    <col min="12552" max="12552" width="14.875" style="5" customWidth="1"/>
    <col min="12553" max="12804" width="11.25" style="5"/>
    <col min="12805" max="12805" width="18.5" style="5" customWidth="1"/>
    <col min="12806" max="12806" width="30.875" style="5" customWidth="1"/>
    <col min="12807" max="12807" width="15.25" style="5" customWidth="1"/>
    <col min="12808" max="12808" width="14.875" style="5" customWidth="1"/>
    <col min="12809" max="13060" width="11.25" style="5"/>
    <col min="13061" max="13061" width="18.5" style="5" customWidth="1"/>
    <col min="13062" max="13062" width="30.875" style="5" customWidth="1"/>
    <col min="13063" max="13063" width="15.25" style="5" customWidth="1"/>
    <col min="13064" max="13064" width="14.875" style="5" customWidth="1"/>
    <col min="13065" max="13316" width="11.25" style="5"/>
    <col min="13317" max="13317" width="18.5" style="5" customWidth="1"/>
    <col min="13318" max="13318" width="30.875" style="5" customWidth="1"/>
    <col min="13319" max="13319" width="15.25" style="5" customWidth="1"/>
    <col min="13320" max="13320" width="14.875" style="5" customWidth="1"/>
    <col min="13321" max="13572" width="11.25" style="5"/>
    <col min="13573" max="13573" width="18.5" style="5" customWidth="1"/>
    <col min="13574" max="13574" width="30.875" style="5" customWidth="1"/>
    <col min="13575" max="13575" width="15.25" style="5" customWidth="1"/>
    <col min="13576" max="13576" width="14.875" style="5" customWidth="1"/>
    <col min="13577" max="13828" width="11.25" style="5"/>
    <col min="13829" max="13829" width="18.5" style="5" customWidth="1"/>
    <col min="13830" max="13830" width="30.875" style="5" customWidth="1"/>
    <col min="13831" max="13831" width="15.25" style="5" customWidth="1"/>
    <col min="13832" max="13832" width="14.875" style="5" customWidth="1"/>
    <col min="13833" max="14084" width="11.25" style="5"/>
    <col min="14085" max="14085" width="18.5" style="5" customWidth="1"/>
    <col min="14086" max="14086" width="30.875" style="5" customWidth="1"/>
    <col min="14087" max="14087" width="15.25" style="5" customWidth="1"/>
    <col min="14088" max="14088" width="14.875" style="5" customWidth="1"/>
    <col min="14089" max="14340" width="11.25" style="5"/>
    <col min="14341" max="14341" width="18.5" style="5" customWidth="1"/>
    <col min="14342" max="14342" width="30.875" style="5" customWidth="1"/>
    <col min="14343" max="14343" width="15.25" style="5" customWidth="1"/>
    <col min="14344" max="14344" width="14.875" style="5" customWidth="1"/>
    <col min="14345" max="14596" width="11.25" style="5"/>
    <col min="14597" max="14597" width="18.5" style="5" customWidth="1"/>
    <col min="14598" max="14598" width="30.875" style="5" customWidth="1"/>
    <col min="14599" max="14599" width="15.25" style="5" customWidth="1"/>
    <col min="14600" max="14600" width="14.875" style="5" customWidth="1"/>
    <col min="14601" max="14852" width="11.25" style="5"/>
    <col min="14853" max="14853" width="18.5" style="5" customWidth="1"/>
    <col min="14854" max="14854" width="30.875" style="5" customWidth="1"/>
    <col min="14855" max="14855" width="15.25" style="5" customWidth="1"/>
    <col min="14856" max="14856" width="14.875" style="5" customWidth="1"/>
    <col min="14857" max="15108" width="11.25" style="5"/>
    <col min="15109" max="15109" width="18.5" style="5" customWidth="1"/>
    <col min="15110" max="15110" width="30.875" style="5" customWidth="1"/>
    <col min="15111" max="15111" width="15.25" style="5" customWidth="1"/>
    <col min="15112" max="15112" width="14.875" style="5" customWidth="1"/>
    <col min="15113" max="15364" width="11.25" style="5"/>
    <col min="15365" max="15365" width="18.5" style="5" customWidth="1"/>
    <col min="15366" max="15366" width="30.875" style="5" customWidth="1"/>
    <col min="15367" max="15367" width="15.25" style="5" customWidth="1"/>
    <col min="15368" max="15368" width="14.875" style="5" customWidth="1"/>
    <col min="15369" max="15620" width="11.25" style="5"/>
    <col min="15621" max="15621" width="18.5" style="5" customWidth="1"/>
    <col min="15622" max="15622" width="30.875" style="5" customWidth="1"/>
    <col min="15623" max="15623" width="15.25" style="5" customWidth="1"/>
    <col min="15624" max="15624" width="14.875" style="5" customWidth="1"/>
    <col min="15625" max="15876" width="11.25" style="5"/>
    <col min="15877" max="15877" width="18.5" style="5" customWidth="1"/>
    <col min="15878" max="15878" width="30.875" style="5" customWidth="1"/>
    <col min="15879" max="15879" width="15.25" style="5" customWidth="1"/>
    <col min="15880" max="15880" width="14.875" style="5" customWidth="1"/>
    <col min="15881" max="16132" width="11.25" style="5"/>
    <col min="16133" max="16133" width="18.5" style="5" customWidth="1"/>
    <col min="16134" max="16134" width="30.875" style="5" customWidth="1"/>
    <col min="16135" max="16135" width="15.25" style="5" customWidth="1"/>
    <col min="16136" max="16136" width="14.875" style="5" customWidth="1"/>
    <col min="16137" max="16384" width="11.25" style="5"/>
  </cols>
  <sheetData>
    <row r="1" spans="1:32" ht="15" thickBot="1" x14ac:dyDescent="0.25">
      <c r="A1" s="1" t="s">
        <v>0</v>
      </c>
      <c r="B1" s="2" t="s">
        <v>1</v>
      </c>
      <c r="C1" s="3" t="s">
        <v>2</v>
      </c>
      <c r="D1" s="4">
        <f>EDATE($D$2,1)</f>
        <v>45689</v>
      </c>
      <c r="E1" s="2"/>
    </row>
    <row r="2" spans="1:32" ht="15" thickBot="1" x14ac:dyDescent="0.25">
      <c r="A2" s="1" t="s">
        <v>3</v>
      </c>
      <c r="B2" s="6" t="s">
        <v>4</v>
      </c>
      <c r="C2" s="7"/>
      <c r="D2" s="4">
        <f>EOMONTH(L5,-1)+1</f>
        <v>45658</v>
      </c>
      <c r="E2" s="8"/>
    </row>
    <row r="4" spans="1:32" ht="15.75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/>
      <c r="G4"/>
      <c r="H4"/>
      <c r="L4" t="s">
        <v>10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s="10" customFormat="1" ht="15.75" x14ac:dyDescent="0.25">
      <c r="A5" t="s">
        <v>11</v>
      </c>
      <c r="B5" t="s">
        <v>12</v>
      </c>
      <c r="C5" s="9">
        <v>407071</v>
      </c>
      <c r="D5" s="9">
        <v>403000</v>
      </c>
      <c r="E5" s="9">
        <v>3000</v>
      </c>
      <c r="F5"/>
      <c r="G5"/>
      <c r="H5"/>
      <c r="L5" s="11">
        <v>45684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5.75" x14ac:dyDescent="0.25">
      <c r="A6"/>
      <c r="B6" t="s">
        <v>13</v>
      </c>
      <c r="C6" s="9">
        <v>407071</v>
      </c>
      <c r="D6" s="9">
        <v>403000</v>
      </c>
      <c r="E6" s="9">
        <v>3000</v>
      </c>
      <c r="F6"/>
      <c r="G6"/>
      <c r="H6"/>
      <c r="L6" s="11" t="s">
        <v>14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ht="15.75" x14ac:dyDescent="0.25">
      <c r="A7"/>
      <c r="B7" t="s">
        <v>15</v>
      </c>
      <c r="C7" s="9">
        <v>417172</v>
      </c>
      <c r="D7" s="9">
        <v>413000</v>
      </c>
      <c r="E7" s="9">
        <v>3000</v>
      </c>
      <c r="F7"/>
      <c r="G7"/>
      <c r="H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ht="15.75" x14ac:dyDescent="0.25">
      <c r="A8"/>
      <c r="B8" t="s">
        <v>16</v>
      </c>
      <c r="C8" s="9">
        <v>407071</v>
      </c>
      <c r="D8" s="9">
        <v>403000</v>
      </c>
      <c r="E8" s="9">
        <v>3000</v>
      </c>
      <c r="F8"/>
      <c r="G8"/>
      <c r="H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ht="15.75" x14ac:dyDescent="0.25">
      <c r="A9"/>
      <c r="B9" t="s">
        <v>17</v>
      </c>
      <c r="C9" s="9">
        <v>505644</v>
      </c>
      <c r="D9" s="9">
        <v>500588</v>
      </c>
      <c r="E9" s="9">
        <v>10588</v>
      </c>
      <c r="F9"/>
      <c r="G9"/>
      <c r="H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ht="15.75" x14ac:dyDescent="0.25">
      <c r="A10"/>
      <c r="B10" t="s">
        <v>18</v>
      </c>
      <c r="C10" s="9">
        <v>407071</v>
      </c>
      <c r="D10" s="9">
        <v>403000</v>
      </c>
      <c r="E10" s="9">
        <v>3000</v>
      </c>
      <c r="F10"/>
      <c r="G10"/>
      <c r="H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ht="15.75" x14ac:dyDescent="0.25">
      <c r="A11"/>
      <c r="B11" t="s">
        <v>19</v>
      </c>
      <c r="C11" s="9">
        <v>275712</v>
      </c>
      <c r="D11" s="9">
        <v>272955</v>
      </c>
      <c r="E11" s="9">
        <v>3000</v>
      </c>
      <c r="F11"/>
      <c r="G11"/>
      <c r="H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ht="15.75" x14ac:dyDescent="0.25">
      <c r="A12"/>
      <c r="B12" t="s">
        <v>20</v>
      </c>
      <c r="C12" s="9">
        <v>243523</v>
      </c>
      <c r="D12" s="9">
        <v>241088</v>
      </c>
      <c r="E12" s="9">
        <v>3000</v>
      </c>
      <c r="F12"/>
      <c r="G12"/>
      <c r="H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ht="15.75" x14ac:dyDescent="0.25">
      <c r="A13"/>
      <c r="B13" t="s">
        <v>21</v>
      </c>
      <c r="C13" s="9">
        <v>356566</v>
      </c>
      <c r="D13" s="9">
        <v>353000</v>
      </c>
      <c r="E13" s="9">
        <v>3000</v>
      </c>
      <c r="F13"/>
      <c r="G13"/>
      <c r="H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ht="15.75" x14ac:dyDescent="0.25">
      <c r="A14"/>
      <c r="B14" t="s">
        <v>22</v>
      </c>
      <c r="C14" s="9">
        <v>356566</v>
      </c>
      <c r="D14" s="9">
        <v>353000</v>
      </c>
      <c r="E14" s="9">
        <v>3000</v>
      </c>
      <c r="F14"/>
      <c r="G14"/>
      <c r="H14"/>
      <c r="I14" s="12"/>
      <c r="J14" s="12"/>
      <c r="K14" s="12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ht="15.75" x14ac:dyDescent="0.25">
      <c r="A15"/>
      <c r="B15" t="s">
        <v>23</v>
      </c>
      <c r="C15" s="9">
        <v>356566</v>
      </c>
      <c r="D15" s="9">
        <v>353000</v>
      </c>
      <c r="E15" s="9">
        <v>3000</v>
      </c>
      <c r="F15"/>
      <c r="G15"/>
      <c r="H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ht="15.75" x14ac:dyDescent="0.25">
      <c r="A16"/>
      <c r="B16" t="s">
        <v>24</v>
      </c>
      <c r="C16" s="9">
        <v>356566</v>
      </c>
      <c r="D16" s="9">
        <v>353000</v>
      </c>
      <c r="E16" s="9">
        <v>3000</v>
      </c>
      <c r="F16"/>
      <c r="G16"/>
      <c r="H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ht="15.75" x14ac:dyDescent="0.25">
      <c r="A17"/>
      <c r="B17" t="s">
        <v>25</v>
      </c>
      <c r="C17" s="9">
        <v>356566</v>
      </c>
      <c r="D17" s="9">
        <v>353000</v>
      </c>
      <c r="E17" s="9">
        <v>3000</v>
      </c>
      <c r="F17"/>
      <c r="G17"/>
      <c r="H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ht="15.75" x14ac:dyDescent="0.25">
      <c r="A18"/>
      <c r="B18" t="s">
        <v>26</v>
      </c>
      <c r="C18" s="9">
        <v>306061</v>
      </c>
      <c r="D18" s="9">
        <v>303000</v>
      </c>
      <c r="E18" s="9">
        <v>3000</v>
      </c>
      <c r="F18"/>
      <c r="G18"/>
      <c r="H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ht="15.75" x14ac:dyDescent="0.25">
      <c r="A19"/>
      <c r="B19" t="s">
        <v>27</v>
      </c>
      <c r="C19" s="9">
        <v>306061</v>
      </c>
      <c r="D19" s="9">
        <v>303000</v>
      </c>
      <c r="E19" s="9">
        <v>3000</v>
      </c>
      <c r="F19"/>
      <c r="G19"/>
      <c r="H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ht="15.75" x14ac:dyDescent="0.25">
      <c r="A20" t="s">
        <v>28</v>
      </c>
      <c r="B20" t="s">
        <v>29</v>
      </c>
      <c r="C20" s="9">
        <v>515152</v>
      </c>
      <c r="D20" s="9">
        <v>510000</v>
      </c>
      <c r="E20" s="9">
        <v>10000</v>
      </c>
      <c r="F20"/>
      <c r="G20"/>
      <c r="H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ht="15.75" x14ac:dyDescent="0.25">
      <c r="A21" t="s">
        <v>30</v>
      </c>
      <c r="B21" t="s">
        <v>31</v>
      </c>
      <c r="C21" s="9">
        <v>764520</v>
      </c>
      <c r="D21" s="9">
        <v>756875</v>
      </c>
      <c r="E21" s="9">
        <v>56875</v>
      </c>
      <c r="F21"/>
      <c r="G21"/>
      <c r="H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ht="15.75" x14ac:dyDescent="0.25">
      <c r="A22" t="s">
        <v>32</v>
      </c>
      <c r="B22" t="s">
        <v>33</v>
      </c>
      <c r="C22" s="9">
        <v>1133207</v>
      </c>
      <c r="D22" s="9">
        <v>1121875</v>
      </c>
      <c r="E22" s="9">
        <v>131875</v>
      </c>
      <c r="F22"/>
      <c r="G22"/>
      <c r="H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ht="15.75" x14ac:dyDescent="0.25">
      <c r="A23" t="s">
        <v>34</v>
      </c>
      <c r="B23" t="s">
        <v>35</v>
      </c>
      <c r="C23" s="9">
        <v>1554924</v>
      </c>
      <c r="D23" s="9">
        <v>1539375</v>
      </c>
      <c r="E23" s="9">
        <v>209375</v>
      </c>
      <c r="F23"/>
      <c r="G23"/>
      <c r="H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ht="15.75" x14ac:dyDescent="0.25">
      <c r="A24" t="s">
        <v>36</v>
      </c>
      <c r="B24" t="s">
        <v>37</v>
      </c>
      <c r="C24" s="9">
        <v>134343</v>
      </c>
      <c r="D24" s="9">
        <v>133000</v>
      </c>
      <c r="E24" s="9">
        <v>3000</v>
      </c>
      <c r="F24"/>
      <c r="G24"/>
      <c r="H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ht="15.75" x14ac:dyDescent="0.25">
      <c r="A25"/>
      <c r="B25" t="s">
        <v>38</v>
      </c>
      <c r="C25" s="9">
        <v>124242</v>
      </c>
      <c r="D25" s="9">
        <v>123000</v>
      </c>
      <c r="E25" s="9">
        <v>3000</v>
      </c>
      <c r="F25"/>
      <c r="G25"/>
      <c r="H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ht="15.75" x14ac:dyDescent="0.25">
      <c r="A26" t="s">
        <v>39</v>
      </c>
      <c r="B26" t="s">
        <v>40</v>
      </c>
      <c r="C26" s="9">
        <v>512547</v>
      </c>
      <c r="D26" s="9">
        <v>507422</v>
      </c>
      <c r="E26" s="9">
        <v>7613</v>
      </c>
      <c r="F26"/>
      <c r="G26"/>
      <c r="H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ht="15.75" x14ac:dyDescent="0.25">
      <c r="A27"/>
      <c r="B27" t="s">
        <v>41</v>
      </c>
      <c r="C27" s="9">
        <v>497905</v>
      </c>
      <c r="D27" s="9">
        <v>492926</v>
      </c>
      <c r="E27" s="9">
        <v>3793</v>
      </c>
      <c r="F27"/>
      <c r="G27"/>
      <c r="H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ht="15.75" x14ac:dyDescent="0.25">
      <c r="A28"/>
      <c r="B28" t="s">
        <v>42</v>
      </c>
      <c r="C28" s="9">
        <v>447475</v>
      </c>
      <c r="D28" s="9">
        <v>443000</v>
      </c>
      <c r="E28" s="9">
        <v>3000</v>
      </c>
      <c r="F28"/>
      <c r="G28"/>
      <c r="H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ht="15.75" x14ac:dyDescent="0.25">
      <c r="A29" t="s">
        <v>43</v>
      </c>
      <c r="B29" t="s">
        <v>44</v>
      </c>
      <c r="C29" s="9">
        <v>1138258</v>
      </c>
      <c r="D29" s="9">
        <v>1126875</v>
      </c>
      <c r="E29" s="9">
        <v>126875</v>
      </c>
      <c r="F29"/>
      <c r="G29"/>
      <c r="H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ht="15.75" x14ac:dyDescent="0.25">
      <c r="A30" t="s">
        <v>45</v>
      </c>
      <c r="B30" t="s">
        <v>46</v>
      </c>
      <c r="C30" s="9">
        <v>736742</v>
      </c>
      <c r="D30" s="9">
        <v>729375</v>
      </c>
      <c r="E30" s="9">
        <v>49375</v>
      </c>
      <c r="F30"/>
      <c r="G30"/>
      <c r="H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ht="15.75" x14ac:dyDescent="0.25">
      <c r="A31" t="s">
        <v>47</v>
      </c>
      <c r="B31" t="s">
        <v>48</v>
      </c>
      <c r="C31" s="9">
        <v>407071</v>
      </c>
      <c r="D31" s="9">
        <v>403000</v>
      </c>
      <c r="E31" s="9">
        <v>3000</v>
      </c>
      <c r="F31"/>
      <c r="G31"/>
      <c r="H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ht="15.75" x14ac:dyDescent="0.25">
      <c r="A32"/>
      <c r="B32" t="s">
        <v>49</v>
      </c>
      <c r="C32" s="9">
        <v>407071</v>
      </c>
      <c r="D32" s="9">
        <v>403000</v>
      </c>
      <c r="E32" s="9">
        <v>3000</v>
      </c>
      <c r="F32"/>
      <c r="G32"/>
      <c r="H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ht="15.75" x14ac:dyDescent="0.25">
      <c r="A33" t="s">
        <v>50</v>
      </c>
      <c r="B33" t="s">
        <v>51</v>
      </c>
      <c r="C33" s="9">
        <v>1398359</v>
      </c>
      <c r="D33" s="9">
        <v>1384375</v>
      </c>
      <c r="E33" s="9">
        <v>184375</v>
      </c>
      <c r="F33"/>
      <c r="G33"/>
      <c r="H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ht="15.75" x14ac:dyDescent="0.25">
      <c r="A34" t="s">
        <v>52</v>
      </c>
      <c r="B34" t="s">
        <v>53</v>
      </c>
      <c r="C34" s="9">
        <v>2403479</v>
      </c>
      <c r="D34" s="9">
        <v>2382465</v>
      </c>
      <c r="E34" s="9">
        <v>383993</v>
      </c>
      <c r="F34"/>
      <c r="G34"/>
      <c r="H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ht="15.75" x14ac:dyDescent="0.25">
      <c r="A35" t="s">
        <v>54</v>
      </c>
      <c r="B35" t="s">
        <v>55</v>
      </c>
      <c r="C35" s="9">
        <v>1080177</v>
      </c>
      <c r="D35" s="9">
        <v>1069375</v>
      </c>
      <c r="E35" s="9">
        <v>119375</v>
      </c>
      <c r="F35"/>
      <c r="G35"/>
      <c r="H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ht="15.75" x14ac:dyDescent="0.25">
      <c r="A36"/>
      <c r="B36" t="s">
        <v>56</v>
      </c>
      <c r="C36" s="9">
        <v>638258</v>
      </c>
      <c r="D36" s="9">
        <v>631875</v>
      </c>
      <c r="E36" s="9">
        <v>31875</v>
      </c>
      <c r="F36"/>
      <c r="G36"/>
      <c r="H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ht="15.75" x14ac:dyDescent="0.25">
      <c r="A37"/>
      <c r="B37" t="s">
        <v>57</v>
      </c>
      <c r="C37" s="9">
        <v>808712</v>
      </c>
      <c r="D37" s="9">
        <v>800625</v>
      </c>
      <c r="E37" s="9">
        <v>65625</v>
      </c>
      <c r="F37"/>
      <c r="G37"/>
      <c r="H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ht="15.75" x14ac:dyDescent="0.25">
      <c r="A38"/>
      <c r="B38" t="s">
        <v>58</v>
      </c>
      <c r="C38" s="9">
        <v>698864</v>
      </c>
      <c r="D38" s="9">
        <v>691875</v>
      </c>
      <c r="E38" s="9">
        <v>41875</v>
      </c>
      <c r="F38"/>
      <c r="G38"/>
      <c r="H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ht="15.75" x14ac:dyDescent="0.25">
      <c r="A39" t="s">
        <v>59</v>
      </c>
      <c r="B39" t="s">
        <v>60</v>
      </c>
      <c r="C39" s="9">
        <v>4148479</v>
      </c>
      <c r="D39" s="9">
        <v>4127465</v>
      </c>
      <c r="E39" s="9">
        <v>728993</v>
      </c>
      <c r="F39"/>
      <c r="G39"/>
      <c r="H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ht="15.75" x14ac:dyDescent="0.25">
      <c r="A40" t="s">
        <v>61</v>
      </c>
      <c r="B40" t="s">
        <v>62</v>
      </c>
      <c r="C40" s="9">
        <v>852904</v>
      </c>
      <c r="D40" s="9">
        <v>844375</v>
      </c>
      <c r="E40" s="9">
        <v>74375</v>
      </c>
      <c r="F40"/>
      <c r="G40"/>
      <c r="H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ht="15.75" x14ac:dyDescent="0.25">
      <c r="A41" t="s">
        <v>14</v>
      </c>
      <c r="B41"/>
      <c r="C41" s="9">
        <v>25867976</v>
      </c>
      <c r="D41" s="9">
        <v>25632784</v>
      </c>
      <c r="E41" s="9">
        <v>2293855</v>
      </c>
      <c r="F41"/>
      <c r="G41"/>
      <c r="H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ht="15.75" x14ac:dyDescent="0.25">
      <c r="A42"/>
      <c r="B42"/>
      <c r="C42"/>
      <c r="D42"/>
      <c r="E42"/>
      <c r="F42"/>
      <c r="G42"/>
      <c r="H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ht="15.75" x14ac:dyDescent="0.25">
      <c r="A43"/>
      <c r="B43"/>
      <c r="C43"/>
      <c r="D43"/>
      <c r="E43"/>
      <c r="F43"/>
      <c r="G43"/>
      <c r="H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ht="15.75" x14ac:dyDescent="0.25">
      <c r="A44"/>
      <c r="B44"/>
      <c r="C44"/>
      <c r="D44"/>
      <c r="E44"/>
      <c r="F44"/>
      <c r="G44"/>
      <c r="H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ht="15.75" x14ac:dyDescent="0.25">
      <c r="A45"/>
      <c r="B45"/>
      <c r="C45"/>
      <c r="D45"/>
      <c r="E45"/>
      <c r="F45"/>
      <c r="G45"/>
      <c r="H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ht="15.75" x14ac:dyDescent="0.25">
      <c r="A46"/>
      <c r="B46"/>
      <c r="C46"/>
      <c r="D46"/>
      <c r="E46"/>
      <c r="F46"/>
      <c r="G46"/>
      <c r="H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ht="15.75" x14ac:dyDescent="0.25">
      <c r="A47"/>
      <c r="B47"/>
      <c r="C47"/>
      <c r="D47"/>
      <c r="E47"/>
      <c r="F47"/>
      <c r="G47"/>
      <c r="H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ht="15.75" x14ac:dyDescent="0.25">
      <c r="A48"/>
      <c r="B48"/>
      <c r="C48"/>
      <c r="D48"/>
      <c r="E48"/>
      <c r="F48"/>
      <c r="G48"/>
      <c r="H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ht="15.75" x14ac:dyDescent="0.25">
      <c r="A49"/>
      <c r="B49"/>
      <c r="C49"/>
      <c r="D49"/>
      <c r="E49"/>
      <c r="F49"/>
      <c r="G49"/>
      <c r="H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ht="15.75" x14ac:dyDescent="0.25">
      <c r="A50"/>
      <c r="B50"/>
      <c r="C50"/>
      <c r="D50"/>
      <c r="E50"/>
      <c r="F50"/>
      <c r="G50"/>
      <c r="H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ht="15.75" x14ac:dyDescent="0.25">
      <c r="A51"/>
      <c r="B51"/>
      <c r="C51"/>
      <c r="D51"/>
      <c r="E51"/>
      <c r="F51"/>
      <c r="G51"/>
      <c r="H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ht="15.75" x14ac:dyDescent="0.25">
      <c r="A52"/>
      <c r="B52"/>
      <c r="C52"/>
      <c r="D52"/>
      <c r="E52"/>
      <c r="F52"/>
      <c r="G52"/>
      <c r="H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ht="15.75" x14ac:dyDescent="0.25">
      <c r="A53"/>
      <c r="B53"/>
      <c r="C53"/>
      <c r="D53"/>
      <c r="E53"/>
      <c r="F53"/>
      <c r="G53"/>
      <c r="H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ht="15.75" x14ac:dyDescent="0.25">
      <c r="A54"/>
      <c r="B54" s="13" t="s">
        <v>63</v>
      </c>
      <c r="C54" s="1"/>
      <c r="D54" s="1" t="s">
        <v>64</v>
      </c>
      <c r="E54"/>
      <c r="F54"/>
      <c r="G54"/>
      <c r="H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ht="15.75" x14ac:dyDescent="0.25">
      <c r="A55"/>
      <c r="B55"/>
      <c r="C55"/>
      <c r="D55"/>
      <c r="E55"/>
      <c r="F55"/>
      <c r="G55"/>
      <c r="H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ht="15.75" x14ac:dyDescent="0.25">
      <c r="A56"/>
      <c r="B56"/>
      <c r="C56"/>
      <c r="D56"/>
      <c r="E56"/>
      <c r="F56"/>
      <c r="G56"/>
      <c r="H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ht="15.75" x14ac:dyDescent="0.25">
      <c r="A57"/>
      <c r="B57"/>
      <c r="C57"/>
      <c r="D57"/>
      <c r="E57"/>
      <c r="F57"/>
      <c r="G57"/>
      <c r="H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ht="15.75" x14ac:dyDescent="0.25">
      <c r="A58"/>
      <c r="B58"/>
      <c r="C58"/>
      <c r="D58"/>
      <c r="E58"/>
      <c r="F58"/>
      <c r="G58"/>
      <c r="H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ht="15.75" x14ac:dyDescent="0.25">
      <c r="A59"/>
      <c r="B59"/>
      <c r="C59"/>
      <c r="D59"/>
      <c r="E59"/>
      <c r="F59"/>
      <c r="G59"/>
      <c r="H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ht="15.75" x14ac:dyDescent="0.25">
      <c r="A60"/>
      <c r="B60"/>
      <c r="C60"/>
      <c r="D60"/>
      <c r="E60"/>
      <c r="F60"/>
      <c r="G60"/>
      <c r="H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ht="15.75" x14ac:dyDescent="0.25">
      <c r="A61"/>
      <c r="B61"/>
      <c r="C61"/>
      <c r="D61"/>
      <c r="E61"/>
      <c r="F61"/>
      <c r="G61"/>
      <c r="H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 ht="15.75" x14ac:dyDescent="0.25">
      <c r="A62"/>
      <c r="B62"/>
      <c r="C62"/>
      <c r="D62"/>
      <c r="E62"/>
      <c r="F62"/>
      <c r="G62"/>
      <c r="H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ht="15.75" x14ac:dyDescent="0.25">
      <c r="A63"/>
      <c r="B63"/>
      <c r="C63"/>
      <c r="D63"/>
      <c r="E63"/>
      <c r="F63"/>
      <c r="G63"/>
      <c r="H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ht="15.75" x14ac:dyDescent="0.25">
      <c r="A64"/>
      <c r="B64"/>
      <c r="C64"/>
      <c r="D64"/>
      <c r="E64"/>
      <c r="F64"/>
      <c r="G64"/>
      <c r="H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ht="15.75" x14ac:dyDescent="0.25">
      <c r="A65"/>
      <c r="B65"/>
      <c r="C65"/>
      <c r="D65"/>
      <c r="E65"/>
      <c r="F65"/>
      <c r="G65"/>
      <c r="H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ht="15.75" x14ac:dyDescent="0.25">
      <c r="A66"/>
      <c r="B66"/>
      <c r="C66"/>
      <c r="D66"/>
      <c r="E66"/>
      <c r="F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ht="15.75" x14ac:dyDescent="0.25">
      <c r="A67"/>
      <c r="B67"/>
      <c r="C67"/>
      <c r="D67"/>
      <c r="E67"/>
      <c r="F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ht="15.75" x14ac:dyDescent="0.25">
      <c r="A68"/>
      <c r="B68"/>
      <c r="C68"/>
      <c r="D68"/>
      <c r="E68"/>
      <c r="F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ht="15.75" x14ac:dyDescent="0.25">
      <c r="A69"/>
      <c r="B69"/>
      <c r="C69"/>
      <c r="D69"/>
      <c r="E69"/>
      <c r="F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ht="15.75" x14ac:dyDescent="0.25">
      <c r="A70"/>
      <c r="B70"/>
      <c r="C70"/>
      <c r="D70"/>
      <c r="E70"/>
      <c r="F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ht="15.75" x14ac:dyDescent="0.25">
      <c r="A71"/>
      <c r="B71"/>
      <c r="C71"/>
      <c r="D71"/>
      <c r="E71"/>
      <c r="F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ht="15.75" x14ac:dyDescent="0.25">
      <c r="A72"/>
      <c r="B72"/>
      <c r="C72"/>
      <c r="D72"/>
      <c r="E72"/>
      <c r="F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ht="15.75" x14ac:dyDescent="0.25">
      <c r="A73"/>
      <c r="B73"/>
      <c r="C73"/>
      <c r="D73"/>
      <c r="E73"/>
      <c r="F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 ht="15.75" x14ac:dyDescent="0.25">
      <c r="A74"/>
      <c r="B74"/>
      <c r="C74"/>
      <c r="D74"/>
      <c r="E74"/>
      <c r="F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ht="15.75" x14ac:dyDescent="0.25">
      <c r="A75"/>
      <c r="B75"/>
      <c r="C75"/>
      <c r="D75"/>
      <c r="E75"/>
      <c r="F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 ht="15.75" x14ac:dyDescent="0.25">
      <c r="A76"/>
      <c r="B76"/>
      <c r="C76"/>
      <c r="D76"/>
      <c r="E76"/>
      <c r="F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ht="15.75" x14ac:dyDescent="0.25">
      <c r="A77"/>
      <c r="B77"/>
      <c r="C77"/>
      <c r="D77"/>
      <c r="E77"/>
      <c r="F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 ht="15.75" x14ac:dyDescent="0.25">
      <c r="A78"/>
      <c r="B78"/>
      <c r="C78"/>
      <c r="D78"/>
      <c r="E78"/>
      <c r="F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 ht="15.75" x14ac:dyDescent="0.25">
      <c r="A79"/>
      <c r="B79"/>
      <c r="C79"/>
      <c r="D79"/>
      <c r="E79"/>
      <c r="F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1:32" ht="15.75" x14ac:dyDescent="0.25">
      <c r="A80"/>
      <c r="B80"/>
      <c r="C80"/>
      <c r="D80"/>
      <c r="E80"/>
      <c r="F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:32" ht="15.75" x14ac:dyDescent="0.25">
      <c r="A81"/>
      <c r="B81"/>
      <c r="C81"/>
      <c r="D81"/>
      <c r="E81"/>
      <c r="F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:32" ht="15.75" x14ac:dyDescent="0.25">
      <c r="A82"/>
      <c r="B82"/>
      <c r="C82"/>
      <c r="D82"/>
      <c r="E82"/>
      <c r="F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:32" ht="15.75" x14ac:dyDescent="0.25">
      <c r="A83"/>
      <c r="B83"/>
      <c r="C83"/>
      <c r="D83"/>
      <c r="E83"/>
      <c r="F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:32" ht="15.75" x14ac:dyDescent="0.25">
      <c r="A84"/>
      <c r="B84"/>
      <c r="C84"/>
      <c r="D84"/>
      <c r="E84"/>
      <c r="F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ht="15.75" x14ac:dyDescent="0.25">
      <c r="A85"/>
      <c r="B85"/>
      <c r="C85"/>
      <c r="D85"/>
      <c r="E85"/>
      <c r="F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1:32" ht="15.75" x14ac:dyDescent="0.25">
      <c r="A86"/>
      <c r="B86"/>
      <c r="C86"/>
      <c r="D86"/>
      <c r="E86"/>
      <c r="F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1:32" ht="15.75" x14ac:dyDescent="0.25"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1:32" ht="15.75" x14ac:dyDescent="0.25"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1:32" ht="15.75" x14ac:dyDescent="0.25"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1:32" ht="15.75" x14ac:dyDescent="0.25"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1:32" ht="15.75" x14ac:dyDescent="0.25"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1:32" ht="15.75" x14ac:dyDescent="0.25"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1:32" ht="15.75" x14ac:dyDescent="0.25"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1:32" ht="15.75" x14ac:dyDescent="0.25"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:32" ht="15.75" x14ac:dyDescent="0.25"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1:32" ht="15.75" x14ac:dyDescent="0.25"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13:32" ht="15.75" x14ac:dyDescent="0.25"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13:32" ht="15.75" x14ac:dyDescent="0.25"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13:32" ht="15.75" x14ac:dyDescent="0.25"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13:32" ht="15.75" x14ac:dyDescent="0.25"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13:32" ht="15.75" x14ac:dyDescent="0.25"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13:32" ht="15.75" x14ac:dyDescent="0.25"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13:32" ht="15.75" x14ac:dyDescent="0.25"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13:32" ht="15.75" x14ac:dyDescent="0.25"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13:32" ht="15.75" x14ac:dyDescent="0.25"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13:32" ht="15.75" x14ac:dyDescent="0.25"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13:32" ht="15.75" x14ac:dyDescent="0.25"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13:32" ht="15.75" x14ac:dyDescent="0.25"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13:32" ht="15.75" x14ac:dyDescent="0.25"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13:32" ht="15.75" x14ac:dyDescent="0.25"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13:32" ht="15.75" x14ac:dyDescent="0.25"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13:32" ht="15.75" x14ac:dyDescent="0.25"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3:32" ht="15.75" x14ac:dyDescent="0.25"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3:32" ht="15.75" x14ac:dyDescent="0.25"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3:32" ht="15.75" x14ac:dyDescent="0.25"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3:32" ht="15.75" x14ac:dyDescent="0.25"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3:32" ht="15.75" x14ac:dyDescent="0.25"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3:32" ht="15.75" x14ac:dyDescent="0.25"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3:32" ht="15.75" x14ac:dyDescent="0.25"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3:32" ht="15.75" x14ac:dyDescent="0.25"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3:32" ht="15.75" x14ac:dyDescent="0.25"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3:32" ht="15.75" x14ac:dyDescent="0.25"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3:32" ht="15.75" x14ac:dyDescent="0.25"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3:32" ht="15.75" x14ac:dyDescent="0.25"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3:32" ht="15.75" x14ac:dyDescent="0.25"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3:32" ht="15.75" x14ac:dyDescent="0.25"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3:32" ht="15.75" x14ac:dyDescent="0.25"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3:32" ht="15.75" x14ac:dyDescent="0.25"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3:32" ht="15.75" x14ac:dyDescent="0.25"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13:32" ht="15.75" x14ac:dyDescent="0.25"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13:32" ht="15.75" x14ac:dyDescent="0.25"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13:32" ht="15.75" x14ac:dyDescent="0.25"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13:32" ht="15.75" x14ac:dyDescent="0.25"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13:32" ht="15.75" x14ac:dyDescent="0.25"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13:32" ht="15.75" x14ac:dyDescent="0.25"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13:32" ht="15.75" x14ac:dyDescent="0.25"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13:32" ht="15.75" x14ac:dyDescent="0.25"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13:32" ht="15.75" x14ac:dyDescent="0.25"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3:32" ht="15.75" x14ac:dyDescent="0.25"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13:32" ht="15.75" x14ac:dyDescent="0.25"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13:32" ht="15.75" x14ac:dyDescent="0.25"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13:32" ht="15.75" x14ac:dyDescent="0.25"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13:32" ht="15.75" x14ac:dyDescent="0.25"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13:32" ht="15.75" x14ac:dyDescent="0.25"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13:32" ht="15.75" x14ac:dyDescent="0.25"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13:32" ht="15.75" x14ac:dyDescent="0.25"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13:32" ht="15.75" x14ac:dyDescent="0.25"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13:32" ht="15.75" x14ac:dyDescent="0.25"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13:32" ht="15.75" x14ac:dyDescent="0.25"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13:32" ht="15.75" x14ac:dyDescent="0.25"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13:32" ht="15.75" x14ac:dyDescent="0.25"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13:32" ht="15.75" x14ac:dyDescent="0.25"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13:32" ht="15.75" x14ac:dyDescent="0.25"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13:32" ht="15.75" x14ac:dyDescent="0.25"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13:32" ht="15.75" x14ac:dyDescent="0.25"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13:32" ht="15.75" x14ac:dyDescent="0.25"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13:32" ht="15.75" x14ac:dyDescent="0.25"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13:32" ht="15.75" x14ac:dyDescent="0.25"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13:32" ht="15.75" x14ac:dyDescent="0.25"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13:32" ht="15.75" x14ac:dyDescent="0.25"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13:32" ht="15.75" x14ac:dyDescent="0.25"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13:32" ht="15.75" x14ac:dyDescent="0.25"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13:32" ht="15.75" x14ac:dyDescent="0.25"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13:32" ht="15.75" x14ac:dyDescent="0.25"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13:32" ht="15.75" x14ac:dyDescent="0.25"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13:32" ht="15.75" x14ac:dyDescent="0.25"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13:32" ht="15.75" x14ac:dyDescent="0.25"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13:32" ht="15.75" x14ac:dyDescent="0.25"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13:32" ht="15.75" x14ac:dyDescent="0.25"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13:32" ht="15.75" x14ac:dyDescent="0.25"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13:32" ht="15.75" x14ac:dyDescent="0.25"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13:32" ht="15.75" x14ac:dyDescent="0.25"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13:32" ht="15.75" x14ac:dyDescent="0.25"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13:32" ht="15.75" x14ac:dyDescent="0.25"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13:32" ht="15.75" x14ac:dyDescent="0.25"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13:32" ht="15.75" x14ac:dyDescent="0.25"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13:32" ht="15.75" x14ac:dyDescent="0.25"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13:32" ht="15.75" x14ac:dyDescent="0.25"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13:32" ht="15.75" x14ac:dyDescent="0.25"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13:32" ht="15.75" x14ac:dyDescent="0.25"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13:32" ht="15.75" x14ac:dyDescent="0.25"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13:32" ht="15.75" x14ac:dyDescent="0.25"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13:32" ht="15.75" x14ac:dyDescent="0.25"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13:32" ht="15.75" x14ac:dyDescent="0.25"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13:32" ht="15.75" x14ac:dyDescent="0.25"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13:32" ht="15.75" x14ac:dyDescent="0.25"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13:32" ht="15.75" x14ac:dyDescent="0.25"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13:32" ht="15.75" x14ac:dyDescent="0.25"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13:32" ht="15.75" x14ac:dyDescent="0.25"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13:32" ht="15.75" x14ac:dyDescent="0.25"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13:32" ht="15.75" x14ac:dyDescent="0.25"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13:32" ht="15.75" x14ac:dyDescent="0.25"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13:32" ht="15.75" x14ac:dyDescent="0.25"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13:32" ht="15.75" x14ac:dyDescent="0.25"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13:32" ht="15.75" x14ac:dyDescent="0.25"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13:32" ht="15.75" x14ac:dyDescent="0.25"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13:32" ht="15.75" x14ac:dyDescent="0.25"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13:32" ht="15.75" x14ac:dyDescent="0.25"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13:32" ht="15.75" x14ac:dyDescent="0.25"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13:32" ht="15.75" x14ac:dyDescent="0.25"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13:32" ht="15.75" x14ac:dyDescent="0.25"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13:32" ht="15.75" x14ac:dyDescent="0.25"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13:32" ht="15.75" x14ac:dyDescent="0.25"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13:32" ht="15.75" x14ac:dyDescent="0.25"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13:32" ht="15.75" x14ac:dyDescent="0.25"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13:32" ht="15.75" x14ac:dyDescent="0.25"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13:32" ht="15.75" x14ac:dyDescent="0.25"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13:32" ht="15.75" x14ac:dyDescent="0.25"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13:32" ht="15.75" x14ac:dyDescent="0.25"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13:32" ht="15.75" x14ac:dyDescent="0.25"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13:32" ht="15.75" x14ac:dyDescent="0.25"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13:32" ht="15.75" x14ac:dyDescent="0.25"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13:32" ht="15.75" x14ac:dyDescent="0.25"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13:32" ht="15.75" x14ac:dyDescent="0.25"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13:32" ht="15.75" x14ac:dyDescent="0.25"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13:32" ht="15.75" x14ac:dyDescent="0.25"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13:32" ht="15.75" x14ac:dyDescent="0.25"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13:32" ht="15.75" x14ac:dyDescent="0.25"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13:32" ht="15.75" x14ac:dyDescent="0.25"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13:32" ht="15.75" x14ac:dyDescent="0.25"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13:32" ht="15.75" x14ac:dyDescent="0.25"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13:32" ht="15.75" x14ac:dyDescent="0.25"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13:32" ht="15.75" x14ac:dyDescent="0.25"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13:32" ht="15.75" x14ac:dyDescent="0.25"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13:32" ht="15.75" x14ac:dyDescent="0.25"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13:32" ht="15.75" x14ac:dyDescent="0.25"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13:32" ht="15.75" x14ac:dyDescent="0.25"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13:32" ht="15.75" x14ac:dyDescent="0.25"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13:32" ht="15.75" x14ac:dyDescent="0.25"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13:32" ht="15.75" x14ac:dyDescent="0.25"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13:32" ht="15.75" x14ac:dyDescent="0.25"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13:32" ht="15.75" x14ac:dyDescent="0.25"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13:32" ht="15.75" x14ac:dyDescent="0.25"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13:32" ht="15.75" x14ac:dyDescent="0.25"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13:32" ht="15.75" x14ac:dyDescent="0.25"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13:32" ht="15.75" x14ac:dyDescent="0.25"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13:32" ht="15.75" x14ac:dyDescent="0.25"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13:32" ht="15.75" x14ac:dyDescent="0.25"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13:32" ht="15.75" x14ac:dyDescent="0.25"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13:32" ht="15.75" x14ac:dyDescent="0.25"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13:32" ht="15.75" x14ac:dyDescent="0.25"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13:32" ht="15.75" x14ac:dyDescent="0.25"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13:32" ht="15.75" x14ac:dyDescent="0.25"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13:32" ht="15.75" x14ac:dyDescent="0.25"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13:32" ht="15.75" x14ac:dyDescent="0.25"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13:32" ht="15.75" x14ac:dyDescent="0.25"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13:32" ht="15.75" x14ac:dyDescent="0.25"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13:32" ht="15.75" x14ac:dyDescent="0.25"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13:32" ht="15.75" x14ac:dyDescent="0.25"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13:32" ht="15.75" x14ac:dyDescent="0.25"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13:32" ht="15.75" x14ac:dyDescent="0.25"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13:32" ht="15.75" x14ac:dyDescent="0.25"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13:32" ht="15.75" x14ac:dyDescent="0.25"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13:32" ht="15.75" x14ac:dyDescent="0.25"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13:32" ht="15.75" x14ac:dyDescent="0.25"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13:32" ht="15.75" x14ac:dyDescent="0.25"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13:32" ht="15.75" x14ac:dyDescent="0.25"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13:32" ht="15.75" x14ac:dyDescent="0.25"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13:32" ht="15.75" x14ac:dyDescent="0.25"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13:32" ht="15.75" x14ac:dyDescent="0.25"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13:32" ht="15.75" x14ac:dyDescent="0.25"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13:32" ht="15.75" x14ac:dyDescent="0.25"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13:32" ht="15.75" x14ac:dyDescent="0.25"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13:32" ht="15.75" x14ac:dyDescent="0.25"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13:32" ht="15.75" x14ac:dyDescent="0.25"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13:32" ht="15.75" x14ac:dyDescent="0.25"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13:32" ht="15.75" x14ac:dyDescent="0.25"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13:32" ht="15.75" x14ac:dyDescent="0.25"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13:32" ht="15.75" x14ac:dyDescent="0.25"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13:32" ht="15.75" x14ac:dyDescent="0.25"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13:32" ht="15.75" x14ac:dyDescent="0.25"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13:32" ht="15.75" x14ac:dyDescent="0.25"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13:32" ht="15.75" x14ac:dyDescent="0.25"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13:32" ht="15.75" x14ac:dyDescent="0.25"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13:32" ht="15.75" x14ac:dyDescent="0.25"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13:32" ht="15.75" x14ac:dyDescent="0.25"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13:32" ht="15.75" x14ac:dyDescent="0.25"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13:32" ht="15.75" x14ac:dyDescent="0.25"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13:32" ht="15.75" x14ac:dyDescent="0.25"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13:32" ht="15.75" x14ac:dyDescent="0.25"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13:32" ht="15.75" x14ac:dyDescent="0.25"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13:32" ht="15.75" x14ac:dyDescent="0.25"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13:32" ht="15.75" x14ac:dyDescent="0.25"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13:32" ht="15.75" x14ac:dyDescent="0.25"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13:32" ht="15.75" x14ac:dyDescent="0.25"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13:32" ht="15.75" x14ac:dyDescent="0.25"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13:32" ht="15.75" x14ac:dyDescent="0.25"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13:32" ht="15.75" x14ac:dyDescent="0.25"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13:32" ht="15.75" x14ac:dyDescent="0.25"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13:32" ht="15.75" x14ac:dyDescent="0.25"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13:32" ht="15.75" x14ac:dyDescent="0.25"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13:32" ht="15.75" x14ac:dyDescent="0.25"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13:32" ht="15.75" x14ac:dyDescent="0.25"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13:32" ht="15.75" x14ac:dyDescent="0.25"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13:32" ht="15.75" x14ac:dyDescent="0.25"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13:32" ht="15.75" x14ac:dyDescent="0.25"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13:32" ht="15.75" x14ac:dyDescent="0.25"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13:32" ht="15.75" x14ac:dyDescent="0.25"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13:32" ht="15.75" x14ac:dyDescent="0.25"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13:32" ht="15.75" x14ac:dyDescent="0.25"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13:32" ht="15.75" x14ac:dyDescent="0.25"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13:32" ht="15.75" x14ac:dyDescent="0.25"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13:32" ht="15.75" x14ac:dyDescent="0.25"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13:32" ht="15.75" x14ac:dyDescent="0.25"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13:32" ht="15.75" x14ac:dyDescent="0.25"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13:32" ht="15.75" x14ac:dyDescent="0.25"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13:32" ht="15.75" x14ac:dyDescent="0.25"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13:32" ht="15.75" x14ac:dyDescent="0.25"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13:32" ht="15.75" x14ac:dyDescent="0.25"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13:32" ht="15.75" x14ac:dyDescent="0.25"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13:32" ht="15.75" x14ac:dyDescent="0.25"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13:32" ht="15.75" x14ac:dyDescent="0.25"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13:32" ht="15.75" x14ac:dyDescent="0.25"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13:32" ht="15.75" x14ac:dyDescent="0.25"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13:32" ht="15.75" x14ac:dyDescent="0.25"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13:32" ht="15.75" x14ac:dyDescent="0.25"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13:32" ht="15.75" x14ac:dyDescent="0.25"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13:32" ht="15.75" x14ac:dyDescent="0.25"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13:32" ht="15.75" x14ac:dyDescent="0.25"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13:32" ht="15.75" x14ac:dyDescent="0.25"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13:32" ht="15.75" x14ac:dyDescent="0.25"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13:32" ht="15.75" x14ac:dyDescent="0.25"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13:32" ht="15.75" x14ac:dyDescent="0.25"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13:32" ht="15.75" x14ac:dyDescent="0.25"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13:32" ht="15.75" x14ac:dyDescent="0.25"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13:32" ht="15.75" x14ac:dyDescent="0.25"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13:32" ht="15.75" x14ac:dyDescent="0.25"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13:32" ht="15.75" x14ac:dyDescent="0.25"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13:32" ht="15.75" x14ac:dyDescent="0.25"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13:32" ht="15.75" x14ac:dyDescent="0.25"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13:32" ht="15.75" x14ac:dyDescent="0.25"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13:32" ht="15.75" x14ac:dyDescent="0.25"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13:32" ht="15.75" x14ac:dyDescent="0.25"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13:32" ht="15.75" x14ac:dyDescent="0.25"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13:32" ht="15.75" x14ac:dyDescent="0.25"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13:32" ht="15.75" x14ac:dyDescent="0.25"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13:32" ht="15.75" x14ac:dyDescent="0.25"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13:32" ht="15.75" x14ac:dyDescent="0.25"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13:32" ht="15.75" x14ac:dyDescent="0.25"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13:32" ht="15.75" x14ac:dyDescent="0.25"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13:32" ht="15.75" x14ac:dyDescent="0.25"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13:32" ht="15.75" x14ac:dyDescent="0.25"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13:32" ht="15.75" x14ac:dyDescent="0.25"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13:32" ht="15.75" x14ac:dyDescent="0.25"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13:32" ht="15.75" x14ac:dyDescent="0.25"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13:32" ht="15.75" x14ac:dyDescent="0.25"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13:32" ht="15.75" x14ac:dyDescent="0.25"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13:32" ht="15.75" x14ac:dyDescent="0.25"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13:32" ht="15.75" x14ac:dyDescent="0.25"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13:32" ht="15.75" x14ac:dyDescent="0.25"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13:32" ht="15.75" x14ac:dyDescent="0.25"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13:32" ht="15.75" x14ac:dyDescent="0.25"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13:32" ht="15.75" x14ac:dyDescent="0.25"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13:32" ht="15.75" x14ac:dyDescent="0.25"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13:32" ht="15.75" x14ac:dyDescent="0.25"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13:32" ht="15.75" x14ac:dyDescent="0.25"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13:32" ht="15.75" x14ac:dyDescent="0.25"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13:32" ht="15.75" x14ac:dyDescent="0.25"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13:32" ht="15.75" x14ac:dyDescent="0.25"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13:32" ht="15.75" x14ac:dyDescent="0.25"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13:32" ht="15.75" x14ac:dyDescent="0.25"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13:32" ht="15.75" x14ac:dyDescent="0.25"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13:32" ht="15.75" x14ac:dyDescent="0.25"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13:32" ht="15.75" x14ac:dyDescent="0.25"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13:32" ht="15.75" x14ac:dyDescent="0.25"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13:32" ht="15.75" x14ac:dyDescent="0.25"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13:32" ht="15.75" x14ac:dyDescent="0.25"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13:32" ht="15.75" x14ac:dyDescent="0.25"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13:32" ht="15.75" x14ac:dyDescent="0.25"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13:32" ht="15.75" x14ac:dyDescent="0.25"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13:32" ht="15.75" x14ac:dyDescent="0.25"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13:32" ht="15.75" x14ac:dyDescent="0.25"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13:32" ht="15.75" x14ac:dyDescent="0.25"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13:32" ht="15.75" x14ac:dyDescent="0.25"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13:32" ht="15.75" x14ac:dyDescent="0.25"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13:32" ht="15.75" x14ac:dyDescent="0.25"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13:32" ht="15.75" x14ac:dyDescent="0.25"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13:32" ht="15.75" x14ac:dyDescent="0.25"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13:32" ht="15.75" x14ac:dyDescent="0.25"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13:32" ht="15.75" x14ac:dyDescent="0.25"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13:32" ht="15.75" x14ac:dyDescent="0.25"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13:32" ht="15.75" x14ac:dyDescent="0.25"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13:32" ht="15.75" x14ac:dyDescent="0.25"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13:32" ht="15.75" x14ac:dyDescent="0.25"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13:32" ht="15.75" x14ac:dyDescent="0.25"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13:32" ht="15.75" x14ac:dyDescent="0.25"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13:32" ht="15.75" x14ac:dyDescent="0.25"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13:32" ht="15.75" x14ac:dyDescent="0.25"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13:32" ht="15.75" x14ac:dyDescent="0.25"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13:32" ht="15.75" x14ac:dyDescent="0.25"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13:32" ht="15.75" x14ac:dyDescent="0.25"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13:32" ht="15.75" x14ac:dyDescent="0.25"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13:32" ht="15.75" x14ac:dyDescent="0.25"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13:32" ht="15.75" x14ac:dyDescent="0.25"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13:32" ht="15.75" x14ac:dyDescent="0.25"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13:32" ht="15.75" x14ac:dyDescent="0.25"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13:32" ht="15.75" x14ac:dyDescent="0.25"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13:32" ht="15.75" x14ac:dyDescent="0.25"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13:32" ht="15.75" x14ac:dyDescent="0.25"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13:32" ht="15.75" x14ac:dyDescent="0.25"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13:32" ht="15.75" x14ac:dyDescent="0.25"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13:32" ht="15.75" x14ac:dyDescent="0.25"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13:32" ht="15.75" x14ac:dyDescent="0.25"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13:32" ht="15.75" x14ac:dyDescent="0.25"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13:32" ht="15.75" x14ac:dyDescent="0.25"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13:32" ht="15.75" x14ac:dyDescent="0.25"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13:32" ht="15.75" x14ac:dyDescent="0.25"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13:32" ht="15.75" x14ac:dyDescent="0.25"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13:32" ht="15.75" x14ac:dyDescent="0.25"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13:32" ht="15.75" x14ac:dyDescent="0.25"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13:32" ht="15.75" x14ac:dyDescent="0.25"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13:32" ht="15.75" x14ac:dyDescent="0.25"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13:32" ht="15.75" x14ac:dyDescent="0.25"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13:32" ht="15.75" x14ac:dyDescent="0.25"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13:32" ht="15.75" x14ac:dyDescent="0.25"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13:32" ht="15.75" x14ac:dyDescent="0.25"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13:32" ht="15.75" x14ac:dyDescent="0.25"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13:32" ht="15.75" x14ac:dyDescent="0.25"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13:32" ht="15.75" x14ac:dyDescent="0.25"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13:32" ht="15.75" x14ac:dyDescent="0.25"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13:32" ht="15.75" x14ac:dyDescent="0.25"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13:32" ht="15.75" x14ac:dyDescent="0.25"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13:32" ht="15.75" x14ac:dyDescent="0.25"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13:32" ht="15.75" x14ac:dyDescent="0.25"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13:32" ht="15.75" x14ac:dyDescent="0.25"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13:32" ht="15.75" x14ac:dyDescent="0.25"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13:32" ht="15.75" x14ac:dyDescent="0.25"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13:32" ht="15.75" x14ac:dyDescent="0.25"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13:32" ht="15.75" x14ac:dyDescent="0.25"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13:32" ht="15.75" x14ac:dyDescent="0.25"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13:32" ht="15.75" x14ac:dyDescent="0.25"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13:32" ht="15.75" x14ac:dyDescent="0.25"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13:32" ht="15.75" x14ac:dyDescent="0.25"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13:32" ht="15.75" x14ac:dyDescent="0.25"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13:32" ht="15.75" x14ac:dyDescent="0.25"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13:32" ht="15.75" x14ac:dyDescent="0.25"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13:32" ht="15.75" x14ac:dyDescent="0.25"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13:32" ht="15.75" x14ac:dyDescent="0.25"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13:32" ht="15.75" x14ac:dyDescent="0.25"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13:32" ht="15.75" x14ac:dyDescent="0.25"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13:32" ht="15.75" x14ac:dyDescent="0.25"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13:32" ht="15.75" x14ac:dyDescent="0.25"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13:32" ht="15.75" x14ac:dyDescent="0.25"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13:32" ht="15.75" x14ac:dyDescent="0.25"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13:32" ht="15.75" x14ac:dyDescent="0.25"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13:32" ht="15.75" x14ac:dyDescent="0.25"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13:32" ht="15.75" x14ac:dyDescent="0.25"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13:32" ht="15.75" x14ac:dyDescent="0.25"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13:32" ht="15.75" x14ac:dyDescent="0.25"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13:32" ht="15.75" x14ac:dyDescent="0.25"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13:32" ht="15.75" x14ac:dyDescent="0.25"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13:32" ht="15.75" x14ac:dyDescent="0.25"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13:32" ht="15.75" x14ac:dyDescent="0.25"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13:32" ht="15.75" x14ac:dyDescent="0.25"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13:32" ht="15.75" x14ac:dyDescent="0.25"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13:32" ht="15.75" x14ac:dyDescent="0.25"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13:32" ht="15.75" x14ac:dyDescent="0.25"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13:32" ht="15.75" x14ac:dyDescent="0.25"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13:32" ht="15.75" x14ac:dyDescent="0.25"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13:32" ht="15.75" x14ac:dyDescent="0.25"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13:32" ht="15.75" x14ac:dyDescent="0.25"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13:32" ht="15.75" x14ac:dyDescent="0.25"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13:32" ht="15.75" x14ac:dyDescent="0.25"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13:32" ht="15.75" x14ac:dyDescent="0.25"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13:32" ht="15.75" x14ac:dyDescent="0.25"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13:32" ht="15.75" x14ac:dyDescent="0.25"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13:32" ht="15.75" x14ac:dyDescent="0.25"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13:32" ht="15.75" x14ac:dyDescent="0.25"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13:32" ht="15.75" x14ac:dyDescent="0.25"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13:32" ht="15.75" x14ac:dyDescent="0.25"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13:32" ht="15.75" x14ac:dyDescent="0.25"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13:32" ht="15.75" x14ac:dyDescent="0.25"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13:32" ht="15.75" x14ac:dyDescent="0.25"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13:32" ht="15.75" x14ac:dyDescent="0.25"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13:32" ht="15.75" x14ac:dyDescent="0.25"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13:32" ht="15.75" x14ac:dyDescent="0.25"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13:32" ht="15.75" x14ac:dyDescent="0.25"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13:32" ht="15.75" x14ac:dyDescent="0.25"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13:32" ht="15.75" x14ac:dyDescent="0.25"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13:32" ht="15.75" x14ac:dyDescent="0.25"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13:32" ht="15.75" x14ac:dyDescent="0.25"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13:32" ht="15.75" x14ac:dyDescent="0.25"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13:32" ht="15.75" x14ac:dyDescent="0.25"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13:32" ht="15.75" x14ac:dyDescent="0.25"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13:32" ht="15.75" x14ac:dyDescent="0.25"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13:32" ht="15.75" x14ac:dyDescent="0.25"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13:32" ht="15.75" x14ac:dyDescent="0.25"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13:32" ht="15.75" x14ac:dyDescent="0.25"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13:32" ht="15.75" x14ac:dyDescent="0.25"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13:32" ht="15.75" x14ac:dyDescent="0.25"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13:32" ht="15.75" x14ac:dyDescent="0.25"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13:32" ht="15.75" x14ac:dyDescent="0.25"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13:32" ht="15.75" x14ac:dyDescent="0.25"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13:32" ht="15.75" x14ac:dyDescent="0.25"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13:32" ht="15.75" x14ac:dyDescent="0.25"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13:32" ht="15.75" x14ac:dyDescent="0.25"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13:32" ht="15.75" x14ac:dyDescent="0.25"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13:32" ht="15.75" x14ac:dyDescent="0.25"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13:32" ht="15.75" x14ac:dyDescent="0.25"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13:32" ht="15.75" x14ac:dyDescent="0.25"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13:32" ht="15.75" x14ac:dyDescent="0.25"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13:32" ht="15.75" x14ac:dyDescent="0.25"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13:32" ht="15.75" x14ac:dyDescent="0.25"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13:32" ht="15.75" x14ac:dyDescent="0.25"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13:32" ht="15.75" x14ac:dyDescent="0.25"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13:32" ht="15.75" x14ac:dyDescent="0.25"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13:32" ht="15.75" x14ac:dyDescent="0.25"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13:32" ht="15.75" x14ac:dyDescent="0.25"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13:32" ht="15.75" x14ac:dyDescent="0.25"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13:32" ht="15.75" x14ac:dyDescent="0.25"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13:32" ht="15.75" x14ac:dyDescent="0.25"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13:32" ht="15.75" x14ac:dyDescent="0.25"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13:32" ht="15.75" x14ac:dyDescent="0.25"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13:32" ht="15.75" x14ac:dyDescent="0.25"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13:32" ht="15.75" x14ac:dyDescent="0.25"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13:32" ht="15.75" x14ac:dyDescent="0.25"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13:32" ht="15.75" x14ac:dyDescent="0.25"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13:32" ht="15.75" x14ac:dyDescent="0.25"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13:32" ht="15.75" x14ac:dyDescent="0.25"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13:32" ht="15.75" x14ac:dyDescent="0.25"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13:32" ht="15.75" x14ac:dyDescent="0.25"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13:32" ht="15.75" x14ac:dyDescent="0.25"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13:32" ht="15.75" x14ac:dyDescent="0.25"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13:32" ht="15.75" x14ac:dyDescent="0.25"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13:32" ht="15.75" x14ac:dyDescent="0.25"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13:32" ht="15.75" x14ac:dyDescent="0.25"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13:32" ht="15.75" x14ac:dyDescent="0.25"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13:32" ht="15.75" x14ac:dyDescent="0.25"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13:32" ht="15.75" x14ac:dyDescent="0.25"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13:32" ht="15.75" x14ac:dyDescent="0.25"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13:32" ht="15.75" x14ac:dyDescent="0.25"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13:32" ht="15.75" x14ac:dyDescent="0.25"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13:32" ht="15.75" x14ac:dyDescent="0.25"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13:32" ht="15.75" x14ac:dyDescent="0.25"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13:32" ht="15.75" x14ac:dyDescent="0.25"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13:32" ht="15.75" x14ac:dyDescent="0.25"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13:32" ht="15.75" x14ac:dyDescent="0.25"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13:32" ht="15.75" x14ac:dyDescent="0.25"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13:32" ht="15.75" x14ac:dyDescent="0.25"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13:32" ht="15.75" x14ac:dyDescent="0.25"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13:32" ht="15.75" x14ac:dyDescent="0.25"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13:32" ht="15.75" x14ac:dyDescent="0.25"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13:32" ht="15.75" x14ac:dyDescent="0.25"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13:32" ht="15.75" x14ac:dyDescent="0.25"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13:32" ht="15.75" x14ac:dyDescent="0.25"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13:32" ht="15.75" x14ac:dyDescent="0.25"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13:32" ht="15.75" x14ac:dyDescent="0.25"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13:32" ht="15.75" x14ac:dyDescent="0.25"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13:32" ht="15.75" x14ac:dyDescent="0.25"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13:32" ht="15.75" x14ac:dyDescent="0.25"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13:32" ht="15.75" x14ac:dyDescent="0.25"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13:32" ht="15.75" x14ac:dyDescent="0.25"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13:32" ht="15.75" x14ac:dyDescent="0.25"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13:32" ht="15.75" x14ac:dyDescent="0.25"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13:32" ht="15.75" x14ac:dyDescent="0.25"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13:32" ht="15.75" x14ac:dyDescent="0.25"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13:32" ht="15.75" x14ac:dyDescent="0.25"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13:32" ht="15.75" x14ac:dyDescent="0.25"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13:32" ht="15.75" x14ac:dyDescent="0.25"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13:32" ht="15.75" x14ac:dyDescent="0.25"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13:32" ht="15.75" x14ac:dyDescent="0.25"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13:32" ht="15.75" x14ac:dyDescent="0.25"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13:32" ht="15.75" x14ac:dyDescent="0.25"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13:32" ht="15.75" x14ac:dyDescent="0.25"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13:32" ht="15.75" x14ac:dyDescent="0.25"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13:32" ht="15.75" x14ac:dyDescent="0.25"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13:32" ht="15.75" x14ac:dyDescent="0.25"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13:32" ht="15.75" x14ac:dyDescent="0.25"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13:32" ht="15.75" x14ac:dyDescent="0.25"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13:32" ht="15.75" x14ac:dyDescent="0.25"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13:32" ht="15.75" x14ac:dyDescent="0.25"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13:32" ht="15.75" x14ac:dyDescent="0.25"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13:32" ht="15.75" x14ac:dyDescent="0.25"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13:32" ht="15.75" x14ac:dyDescent="0.25"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13:32" ht="15.75" x14ac:dyDescent="0.25"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13:32" ht="15.75" x14ac:dyDescent="0.25"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13:32" ht="15.75" x14ac:dyDescent="0.25"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13:32" ht="15.75" x14ac:dyDescent="0.25"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13:32" ht="15.75" x14ac:dyDescent="0.25"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13:32" ht="15.75" x14ac:dyDescent="0.25"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13:32" ht="15.75" x14ac:dyDescent="0.25"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13:32" ht="15.75" x14ac:dyDescent="0.25"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13:32" ht="15.75" x14ac:dyDescent="0.25"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13:32" ht="15.75" x14ac:dyDescent="0.25"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13:32" ht="15.75" x14ac:dyDescent="0.25"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13:32" ht="15.75" x14ac:dyDescent="0.25"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13:32" ht="15.75" x14ac:dyDescent="0.25"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13:32" ht="15.75" x14ac:dyDescent="0.25"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13:32" ht="15.75" x14ac:dyDescent="0.25"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13:32" ht="15.75" x14ac:dyDescent="0.25"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13:32" ht="15.75" x14ac:dyDescent="0.25"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13:32" ht="15.75" x14ac:dyDescent="0.25"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13:32" ht="15.75" x14ac:dyDescent="0.25"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13:32" ht="15.75" x14ac:dyDescent="0.25"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13:32" ht="15.75" x14ac:dyDescent="0.25"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13:32" ht="15.75" x14ac:dyDescent="0.25"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13:32" ht="15.75" x14ac:dyDescent="0.25"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13:32" ht="15.75" x14ac:dyDescent="0.25"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13:32" ht="15.75" x14ac:dyDescent="0.25"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13:32" ht="15.75" x14ac:dyDescent="0.25"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13:32" ht="15.75" x14ac:dyDescent="0.25"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13:32" ht="15.75" x14ac:dyDescent="0.25"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13:32" ht="15.75" x14ac:dyDescent="0.25"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13:32" ht="15.75" x14ac:dyDescent="0.25"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13:32" ht="15.75" x14ac:dyDescent="0.25"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13:32" ht="15.75" x14ac:dyDescent="0.25"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13:32" ht="15.75" x14ac:dyDescent="0.25"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13:32" ht="15.75" x14ac:dyDescent="0.25"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13:32" ht="15.75" x14ac:dyDescent="0.25"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13:32" ht="15.75" x14ac:dyDescent="0.25"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13:32" ht="15.75" x14ac:dyDescent="0.25"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13:32" ht="15.75" x14ac:dyDescent="0.25"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13:32" ht="15.75" x14ac:dyDescent="0.25"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13:32" ht="15.75" x14ac:dyDescent="0.25"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13:32" ht="15.75" x14ac:dyDescent="0.25"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13:32" ht="15.75" x14ac:dyDescent="0.25"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13:32" ht="15.75" x14ac:dyDescent="0.25"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13:32" ht="15.75" x14ac:dyDescent="0.25"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13:32" ht="15.75" x14ac:dyDescent="0.25"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13:32" ht="15.75" x14ac:dyDescent="0.25"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13:32" ht="15.75" x14ac:dyDescent="0.25"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13:32" ht="15.75" x14ac:dyDescent="0.25"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13:32" ht="15.75" x14ac:dyDescent="0.25"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13:32" ht="15.75" x14ac:dyDescent="0.25"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13:32" ht="15.75" x14ac:dyDescent="0.25"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13:32" ht="15.75" x14ac:dyDescent="0.25"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13:32" ht="15.75" x14ac:dyDescent="0.25"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13:32" ht="15.75" x14ac:dyDescent="0.25"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13:32" ht="15.75" x14ac:dyDescent="0.25"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13:32" ht="15.75" x14ac:dyDescent="0.25"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13:32" ht="15.75" x14ac:dyDescent="0.25"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13:32" ht="15.75" x14ac:dyDescent="0.25"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13:32" ht="15.75" x14ac:dyDescent="0.25"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13:32" ht="15.75" x14ac:dyDescent="0.25"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13:32" ht="15.75" x14ac:dyDescent="0.25"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13:32" ht="15.75" x14ac:dyDescent="0.25"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13:32" ht="15.75" x14ac:dyDescent="0.25"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13:32" ht="15.75" x14ac:dyDescent="0.25"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13:32" ht="15.75" x14ac:dyDescent="0.25"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13:32" ht="15.75" x14ac:dyDescent="0.25"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13:32" ht="15.75" x14ac:dyDescent="0.25"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13:32" ht="15.75" x14ac:dyDescent="0.25"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13:32" ht="15.75" x14ac:dyDescent="0.25"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13:32" ht="15.75" x14ac:dyDescent="0.25"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13:32" ht="15.75" x14ac:dyDescent="0.25"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13:32" ht="15.75" x14ac:dyDescent="0.25"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13:32" ht="15.75" x14ac:dyDescent="0.25"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13:32" ht="15.75" x14ac:dyDescent="0.25"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13:32" ht="15.75" x14ac:dyDescent="0.25"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13:32" ht="15.75" x14ac:dyDescent="0.25"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13:32" ht="15.75" x14ac:dyDescent="0.25"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13:32" ht="15.75" x14ac:dyDescent="0.25"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13:32" ht="15.75" x14ac:dyDescent="0.25"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13:32" ht="15.75" x14ac:dyDescent="0.25"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13:32" ht="15.75" x14ac:dyDescent="0.25"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13:32" ht="15.75" x14ac:dyDescent="0.25"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13:32" ht="15.75" x14ac:dyDescent="0.25"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13:32" ht="15.75" x14ac:dyDescent="0.25"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13:32" ht="15.75" x14ac:dyDescent="0.25"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13:32" ht="15.75" x14ac:dyDescent="0.25"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13:32" ht="15.75" x14ac:dyDescent="0.25"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13:32" ht="15.75" x14ac:dyDescent="0.25"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13:32" ht="15.75" x14ac:dyDescent="0.25"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13:32" ht="15.75" x14ac:dyDescent="0.25"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13:32" ht="15.75" x14ac:dyDescent="0.25"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13:32" ht="15.75" x14ac:dyDescent="0.25"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13:32" ht="15.75" x14ac:dyDescent="0.25"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13:32" ht="15.75" x14ac:dyDescent="0.25"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13:32" ht="15.75" x14ac:dyDescent="0.25"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13:32" ht="15.75" x14ac:dyDescent="0.25"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13:32" ht="15.75" x14ac:dyDescent="0.25"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13:32" ht="15.75" x14ac:dyDescent="0.25"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13:32" ht="15.75" x14ac:dyDescent="0.25"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13:32" ht="15.75" x14ac:dyDescent="0.25"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13:32" ht="15.75" x14ac:dyDescent="0.25"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13:32" ht="15.75" x14ac:dyDescent="0.25"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13:32" ht="15.75" x14ac:dyDescent="0.25"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13:32" ht="15.75" x14ac:dyDescent="0.25"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13:32" ht="15.75" x14ac:dyDescent="0.25"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13:32" ht="15.75" x14ac:dyDescent="0.25"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13:32" ht="15.75" x14ac:dyDescent="0.25"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13:32" ht="15.75" x14ac:dyDescent="0.25"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13:32" ht="15.75" x14ac:dyDescent="0.25"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13:32" ht="15.75" x14ac:dyDescent="0.25"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13:32" ht="15.75" x14ac:dyDescent="0.25"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13:32" ht="15.75" x14ac:dyDescent="0.25"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13:32" ht="15.75" x14ac:dyDescent="0.25"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13:32" ht="15.75" x14ac:dyDescent="0.25"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13:32" ht="15.75" x14ac:dyDescent="0.25"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13:32" ht="15.75" x14ac:dyDescent="0.25"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13:32" ht="15.75" x14ac:dyDescent="0.25"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13:32" ht="15.75" x14ac:dyDescent="0.25"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13:32" ht="15.75" x14ac:dyDescent="0.25"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13:32" ht="15.75" x14ac:dyDescent="0.25"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13:32" ht="15.75" x14ac:dyDescent="0.25"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13:32" ht="15.75" x14ac:dyDescent="0.25"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13:32" ht="15.75" x14ac:dyDescent="0.25"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13:32" ht="15.75" x14ac:dyDescent="0.25"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13:32" ht="15.75" x14ac:dyDescent="0.25"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13:32" ht="15.75" x14ac:dyDescent="0.25"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13:32" ht="15.75" x14ac:dyDescent="0.25"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13:32" ht="15.75" x14ac:dyDescent="0.25"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13:32" ht="15.75" x14ac:dyDescent="0.25"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13:32" ht="15.75" x14ac:dyDescent="0.25"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13:32" ht="15.75" x14ac:dyDescent="0.25"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13:32" ht="15.75" x14ac:dyDescent="0.25"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13:32" ht="15.75" x14ac:dyDescent="0.25"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13:32" ht="15.75" x14ac:dyDescent="0.25"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13:32" ht="15.75" x14ac:dyDescent="0.25"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13:32" ht="15.75" x14ac:dyDescent="0.25"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13:32" ht="15.75" x14ac:dyDescent="0.25"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13:32" ht="15.75" x14ac:dyDescent="0.25"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13:32" ht="15.75" x14ac:dyDescent="0.25"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13:32" ht="15.75" x14ac:dyDescent="0.25"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13:32" ht="15.75" x14ac:dyDescent="0.25"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13:32" ht="15.75" x14ac:dyDescent="0.25"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13:32" ht="15.75" x14ac:dyDescent="0.25"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13:32" ht="15.75" x14ac:dyDescent="0.25"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13:32" ht="15.75" x14ac:dyDescent="0.25"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13:32" ht="15.75" x14ac:dyDescent="0.25"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13:32" ht="15.75" x14ac:dyDescent="0.25"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13:32" ht="15.75" x14ac:dyDescent="0.25"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13:32" ht="15.75" x14ac:dyDescent="0.25"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13:32" ht="15.75" x14ac:dyDescent="0.25"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13:32" ht="15.75" x14ac:dyDescent="0.25"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13:32" ht="15.75" x14ac:dyDescent="0.25"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13:32" ht="15.75" x14ac:dyDescent="0.25"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13:32" ht="15.75" x14ac:dyDescent="0.25"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13:32" ht="15.75" x14ac:dyDescent="0.25"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13:32" ht="15.75" x14ac:dyDescent="0.25"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13:32" ht="15.75" x14ac:dyDescent="0.25"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13:32" ht="15.75" x14ac:dyDescent="0.25"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13:32" ht="15.75" x14ac:dyDescent="0.25"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13:32" ht="15.75" x14ac:dyDescent="0.25"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13:32" ht="15.75" x14ac:dyDescent="0.25"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13:32" ht="15.75" x14ac:dyDescent="0.25"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13:32" ht="15.75" x14ac:dyDescent="0.25"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13:32" ht="15.75" x14ac:dyDescent="0.25"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13:32" ht="15.75" x14ac:dyDescent="0.25"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13:32" ht="15.75" x14ac:dyDescent="0.25"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13:32" ht="15.75" x14ac:dyDescent="0.25"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13:32" ht="15.75" x14ac:dyDescent="0.25"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13:32" ht="15.75" x14ac:dyDescent="0.25"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13:32" ht="15.75" x14ac:dyDescent="0.25"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13:32" ht="15.75" x14ac:dyDescent="0.25"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13:32" ht="15.75" x14ac:dyDescent="0.25"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13:32" ht="15.75" x14ac:dyDescent="0.25"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13:32" ht="15.75" x14ac:dyDescent="0.25"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13:32" ht="15.75" x14ac:dyDescent="0.25"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13:32" ht="15.75" x14ac:dyDescent="0.25"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13:32" ht="15.75" x14ac:dyDescent="0.25"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13:32" ht="15.75" x14ac:dyDescent="0.25"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13:32" ht="15.75" x14ac:dyDescent="0.25"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13:32" ht="15.75" x14ac:dyDescent="0.25"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13:32" ht="15.75" x14ac:dyDescent="0.25"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13:32" ht="15.75" x14ac:dyDescent="0.25"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13:32" ht="15.75" x14ac:dyDescent="0.25"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13:32" ht="15.75" x14ac:dyDescent="0.25"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13:32" ht="15.75" x14ac:dyDescent="0.25"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13:32" ht="15.75" x14ac:dyDescent="0.25"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13:32" ht="15.75" x14ac:dyDescent="0.25"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13:32" ht="15.75" x14ac:dyDescent="0.25"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13:32" ht="15.75" x14ac:dyDescent="0.25"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13:32" ht="15.75" x14ac:dyDescent="0.25"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13:32" ht="15.75" x14ac:dyDescent="0.25"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13:32" ht="15.75" x14ac:dyDescent="0.25"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13:32" ht="15.75" x14ac:dyDescent="0.25"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13:32" ht="15.75" x14ac:dyDescent="0.25"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13:32" ht="15.75" x14ac:dyDescent="0.25"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13:32" ht="15.75" x14ac:dyDescent="0.25"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13:32" ht="15.75" x14ac:dyDescent="0.25"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13:32" ht="15.75" x14ac:dyDescent="0.25"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13:32" ht="15.75" x14ac:dyDescent="0.25"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13:32" ht="15.75" x14ac:dyDescent="0.25"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13:32" ht="15.75" x14ac:dyDescent="0.25"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13:32" ht="15.75" x14ac:dyDescent="0.25"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13:32" ht="15.75" x14ac:dyDescent="0.25"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13:32" ht="15.75" x14ac:dyDescent="0.25"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13:32" ht="15.75" x14ac:dyDescent="0.25"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13:32" ht="15.75" x14ac:dyDescent="0.25"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13:32" ht="15.75" x14ac:dyDescent="0.25"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13:32" ht="15.75" x14ac:dyDescent="0.25"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13:32" ht="15.75" x14ac:dyDescent="0.25"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13:32" ht="15.75" x14ac:dyDescent="0.25"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13:32" ht="15.75" x14ac:dyDescent="0.25"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13:32" ht="15.75" x14ac:dyDescent="0.25"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13:32" ht="15.75" x14ac:dyDescent="0.25"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13:32" ht="15.75" x14ac:dyDescent="0.25"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13:32" ht="15.75" x14ac:dyDescent="0.25"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13:32" ht="15.75" x14ac:dyDescent="0.25"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13:32" ht="15.75" x14ac:dyDescent="0.25"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13:32" ht="15.75" x14ac:dyDescent="0.25"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13:32" ht="15.75" x14ac:dyDescent="0.25"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13:32" ht="15.75" x14ac:dyDescent="0.25"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13:32" ht="15.75" x14ac:dyDescent="0.25"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13:32" ht="15.75" x14ac:dyDescent="0.25"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13:32" ht="15.75" x14ac:dyDescent="0.25"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13:32" ht="15.75" x14ac:dyDescent="0.25"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13:32" ht="15.75" x14ac:dyDescent="0.25"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13:32" ht="15.75" x14ac:dyDescent="0.25"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13:32" ht="15.75" x14ac:dyDescent="0.25"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13:32" ht="15.75" x14ac:dyDescent="0.25"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13:32" ht="15.75" x14ac:dyDescent="0.25"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13:32" ht="15.75" x14ac:dyDescent="0.25"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13:32" ht="15.75" x14ac:dyDescent="0.25"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13:32" ht="15.75" x14ac:dyDescent="0.25"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13:32" ht="15.75" x14ac:dyDescent="0.25"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13:32" ht="15.75" x14ac:dyDescent="0.25"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13:32" ht="15.75" x14ac:dyDescent="0.25"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13:32" ht="15.75" x14ac:dyDescent="0.25"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13:32" ht="15.75" x14ac:dyDescent="0.25"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13:32" ht="15.75" x14ac:dyDescent="0.25"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13:32" ht="15.75" x14ac:dyDescent="0.25"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13:32" ht="15.75" x14ac:dyDescent="0.25"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13:32" ht="15.75" x14ac:dyDescent="0.25"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13:32" ht="15.75" x14ac:dyDescent="0.25"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13:32" ht="15.75" x14ac:dyDescent="0.25"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13:32" ht="15.75" x14ac:dyDescent="0.25"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13:32" ht="15.75" x14ac:dyDescent="0.25"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13:32" ht="15.75" x14ac:dyDescent="0.25"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13:32" ht="15.75" x14ac:dyDescent="0.25"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13:32" ht="15.75" x14ac:dyDescent="0.25"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13:32" ht="15.75" x14ac:dyDescent="0.25"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13:32" ht="15.75" x14ac:dyDescent="0.25"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13:32" ht="15.75" x14ac:dyDescent="0.25"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13:32" ht="15.75" x14ac:dyDescent="0.25"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13:32" ht="15.75" x14ac:dyDescent="0.25"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13:32" ht="15.75" x14ac:dyDescent="0.25"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13:32" ht="15.75" x14ac:dyDescent="0.25"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13:32" ht="15.75" x14ac:dyDescent="0.25"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13:32" ht="15.75" x14ac:dyDescent="0.25"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13:32" ht="15.75" x14ac:dyDescent="0.25"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13:32" ht="15.75" x14ac:dyDescent="0.25"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13:32" ht="15.75" x14ac:dyDescent="0.25"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13:32" ht="15.75" x14ac:dyDescent="0.25"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13:32" ht="15.75" x14ac:dyDescent="0.25"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13:32" ht="15.75" x14ac:dyDescent="0.25"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13:32" ht="15.75" x14ac:dyDescent="0.25"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13:32" ht="15.75" x14ac:dyDescent="0.25"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13:32" ht="15.75" x14ac:dyDescent="0.25"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13:32" ht="15.75" x14ac:dyDescent="0.25"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13:32" ht="15.75" x14ac:dyDescent="0.25"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13:32" ht="15.75" x14ac:dyDescent="0.25"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13:32" ht="15.75" x14ac:dyDescent="0.25"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13:32" ht="15.75" x14ac:dyDescent="0.25"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13:32" ht="15.75" x14ac:dyDescent="0.25"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13:32" ht="15.75" x14ac:dyDescent="0.25"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13:32" ht="15.75" x14ac:dyDescent="0.25"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13:32" ht="15.75" x14ac:dyDescent="0.25"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13:32" ht="15.75" x14ac:dyDescent="0.25"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13:32" ht="15.75" x14ac:dyDescent="0.25"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13:32" ht="15.75" x14ac:dyDescent="0.25"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13:32" ht="15.75" x14ac:dyDescent="0.25"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13:32" ht="15.75" x14ac:dyDescent="0.25"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13:32" ht="15.75" x14ac:dyDescent="0.25"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13:32" ht="15.75" x14ac:dyDescent="0.25"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13:32" ht="15.75" x14ac:dyDescent="0.25"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13:32" ht="15.75" x14ac:dyDescent="0.25"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13:32" ht="15.75" x14ac:dyDescent="0.25"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13:32" ht="15.75" x14ac:dyDescent="0.25"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13:32" ht="15.75" x14ac:dyDescent="0.25"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13:32" ht="15.75" x14ac:dyDescent="0.25"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13:32" ht="15.75" x14ac:dyDescent="0.25"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13:32" ht="15.75" x14ac:dyDescent="0.25"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13:32" ht="15.75" x14ac:dyDescent="0.25"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13:32" ht="15.75" x14ac:dyDescent="0.25"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13:32" ht="15.75" x14ac:dyDescent="0.25"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13:32" ht="15.75" x14ac:dyDescent="0.25"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13:32" ht="15.75" x14ac:dyDescent="0.25"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13:32" ht="15.75" x14ac:dyDescent="0.25"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13:32" ht="15.75" x14ac:dyDescent="0.25"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13:32" ht="15.75" x14ac:dyDescent="0.25"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13:32" ht="15.75" x14ac:dyDescent="0.25"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13:32" ht="15.75" x14ac:dyDescent="0.25"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13:32" ht="15.75" x14ac:dyDescent="0.25"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13:32" ht="15.75" x14ac:dyDescent="0.25"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13:32" ht="15.75" x14ac:dyDescent="0.25"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13:32" ht="15.75" x14ac:dyDescent="0.25"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13:32" ht="15.75" x14ac:dyDescent="0.25"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13:32" ht="15.75" x14ac:dyDescent="0.25"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13:32" ht="15.75" x14ac:dyDescent="0.25"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13:32" ht="15.75" x14ac:dyDescent="0.25"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13:32" ht="15.75" x14ac:dyDescent="0.25"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13:32" ht="15.75" x14ac:dyDescent="0.25"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13:32" ht="15.75" x14ac:dyDescent="0.25"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13:32" ht="15.75" x14ac:dyDescent="0.25"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13:32" ht="15.75" x14ac:dyDescent="0.25"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13:32" ht="15.75" x14ac:dyDescent="0.25"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13:32" ht="15.75" x14ac:dyDescent="0.25"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13:32" ht="15.75" x14ac:dyDescent="0.25"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13:32" ht="15.75" x14ac:dyDescent="0.25"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13:32" ht="15.75" x14ac:dyDescent="0.25"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13:32" ht="15.75" x14ac:dyDescent="0.25"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13:32" ht="15.75" x14ac:dyDescent="0.25"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13:32" ht="15.75" x14ac:dyDescent="0.25"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13:32" ht="15.75" x14ac:dyDescent="0.25"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13:32" ht="15.75" x14ac:dyDescent="0.25"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13:32" ht="15.75" x14ac:dyDescent="0.25"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13:32" ht="15.75" x14ac:dyDescent="0.25"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13:32" ht="15.75" x14ac:dyDescent="0.25"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13:32" ht="15.75" x14ac:dyDescent="0.25"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13:32" ht="15.75" x14ac:dyDescent="0.25"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13:32" ht="15.75" x14ac:dyDescent="0.25"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13:32" ht="15.75" x14ac:dyDescent="0.25"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13:32" ht="15.75" x14ac:dyDescent="0.25"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13:32" ht="15.75" x14ac:dyDescent="0.25"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13:32" ht="15.75" x14ac:dyDescent="0.25"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13:32" ht="15.75" x14ac:dyDescent="0.25"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13:32" ht="15.75" x14ac:dyDescent="0.25"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13:32" ht="15.75" x14ac:dyDescent="0.25"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13:32" ht="15.75" x14ac:dyDescent="0.25"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13:32" ht="15.75" x14ac:dyDescent="0.25"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13:32" ht="15.75" x14ac:dyDescent="0.25"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13:32" ht="15.75" x14ac:dyDescent="0.25"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13:32" ht="15.75" x14ac:dyDescent="0.25"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13:32" ht="15.75" x14ac:dyDescent="0.25"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13:32" ht="15.75" x14ac:dyDescent="0.25"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13:32" ht="15.75" x14ac:dyDescent="0.25"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13:32" ht="15.75" x14ac:dyDescent="0.25"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13:32" ht="15.75" x14ac:dyDescent="0.25"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13:32" ht="15.75" x14ac:dyDescent="0.25"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13:32" ht="15.75" x14ac:dyDescent="0.25"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13:32" ht="15.75" x14ac:dyDescent="0.25"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13:32" ht="15.75" x14ac:dyDescent="0.25"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13:32" ht="15.75" x14ac:dyDescent="0.25"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13:32" ht="15.75" x14ac:dyDescent="0.25"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13:32" ht="15.75" x14ac:dyDescent="0.25"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13:32" ht="15.75" x14ac:dyDescent="0.25"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13:32" ht="15.75" x14ac:dyDescent="0.25"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13:32" ht="15.75" x14ac:dyDescent="0.25"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13:32" ht="15.75" x14ac:dyDescent="0.25"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13:32" ht="15.75" x14ac:dyDescent="0.25"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13:32" ht="15.75" x14ac:dyDescent="0.25"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13:32" ht="15.75" x14ac:dyDescent="0.25"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13:32" ht="15.75" x14ac:dyDescent="0.25"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13:32" ht="15.75" x14ac:dyDescent="0.25"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13:32" ht="15.75" x14ac:dyDescent="0.25"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13:32" ht="15.75" x14ac:dyDescent="0.25"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13:32" ht="15.75" x14ac:dyDescent="0.25"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13:32" ht="15.75" x14ac:dyDescent="0.25"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13:32" ht="15.75" x14ac:dyDescent="0.25"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13:32" ht="15.75" x14ac:dyDescent="0.25"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13:32" ht="15.75" x14ac:dyDescent="0.25"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13:32" ht="15.75" x14ac:dyDescent="0.25"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13:32" ht="15.75" x14ac:dyDescent="0.25"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13:32" ht="15.75" x14ac:dyDescent="0.25"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13:32" ht="15.75" x14ac:dyDescent="0.25"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13:32" ht="15.75" x14ac:dyDescent="0.25"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13:32" ht="15.75" x14ac:dyDescent="0.25"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13:32" ht="15.75" x14ac:dyDescent="0.25"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13:32" ht="15.75" x14ac:dyDescent="0.25"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13:32" ht="15.75" x14ac:dyDescent="0.25"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13:32" ht="15.75" x14ac:dyDescent="0.25"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13:32" ht="15.75" x14ac:dyDescent="0.25"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13:32" ht="15.75" x14ac:dyDescent="0.25"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13:32" ht="15.75" x14ac:dyDescent="0.25"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13:32" ht="15.75" x14ac:dyDescent="0.25"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13:32" ht="15.75" x14ac:dyDescent="0.25"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13:32" ht="15.75" x14ac:dyDescent="0.25"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13:32" ht="15.75" x14ac:dyDescent="0.25"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13:32" ht="15.75" x14ac:dyDescent="0.25"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13:32" ht="15.75" x14ac:dyDescent="0.25"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13:32" ht="15.75" x14ac:dyDescent="0.25"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13:32" ht="15.75" x14ac:dyDescent="0.25"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</sheetData>
  <pageMargins left="0.70866141732283472" right="0.70866141732283472" top="0.74803149606299213" bottom="0.74803149606299213" header="0.31496062992125984" footer="0.31496062992125984"/>
  <pageSetup paperSize="9" scale="58" orientation="portrait" horizontalDpi="4294967293" verticalDpi="300" r:id="rId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295F-D564-4A45-BCAD-B7650EB85517}">
  <sheetPr codeName="Feuil47">
    <pageSetUpPr fitToPage="1"/>
  </sheetPr>
  <dimension ref="A1:T967"/>
  <sheetViews>
    <sheetView view="pageBreakPreview" zoomScale="90" zoomScaleNormal="100" zoomScaleSheetLayoutView="90" workbookViewId="0">
      <selection activeCell="H17" sqref="H17"/>
    </sheetView>
  </sheetViews>
  <sheetFormatPr baseColWidth="10" defaultColWidth="11.25" defaultRowHeight="14.25" x14ac:dyDescent="0.2"/>
  <cols>
    <col min="1" max="1" width="35.125" style="5" customWidth="1"/>
    <col min="2" max="2" width="17" style="5" customWidth="1"/>
    <col min="3" max="3" width="12.375" style="5" customWidth="1"/>
    <col min="4" max="4" width="15.25" style="14" customWidth="1"/>
    <col min="5" max="5" width="11" style="5" customWidth="1"/>
    <col min="6" max="6" width="13.25" style="5" customWidth="1"/>
    <col min="7" max="7" width="15.375" style="5" customWidth="1"/>
    <col min="8" max="8" width="13.125" style="5" customWidth="1"/>
    <col min="9" max="9" width="12.5" style="5" customWidth="1"/>
    <col min="10" max="10" width="9" style="5" bestFit="1" customWidth="1"/>
    <col min="11" max="11" width="16" style="5" bestFit="1" customWidth="1"/>
    <col min="12" max="12" width="10.5" style="5" bestFit="1" customWidth="1"/>
    <col min="13" max="13" width="10.75" style="5" bestFit="1" customWidth="1"/>
    <col min="14" max="14" width="21.375" style="5" bestFit="1" customWidth="1"/>
    <col min="15" max="15" width="19.5" style="5" bestFit="1" customWidth="1"/>
    <col min="16" max="16" width="8.875" style="5" bestFit="1" customWidth="1"/>
    <col min="17" max="17" width="12.5" style="5" bestFit="1" customWidth="1"/>
    <col min="18" max="18" width="11.5" style="5" bestFit="1" customWidth="1"/>
    <col min="19" max="19" width="28.625" style="5" bestFit="1" customWidth="1"/>
    <col min="20" max="20" width="29.75" style="5" bestFit="1" customWidth="1"/>
    <col min="21" max="21" width="8.875" style="5" bestFit="1" customWidth="1"/>
    <col min="22" max="22" width="12.5" style="5" bestFit="1" customWidth="1"/>
    <col min="23" max="23" width="11.875" style="5" bestFit="1" customWidth="1"/>
    <col min="24" max="24" width="11.5" style="5" bestFit="1" customWidth="1"/>
    <col min="25" max="25" width="29.75" style="5" bestFit="1" customWidth="1"/>
    <col min="26" max="27" width="23.625" style="5" customWidth="1"/>
    <col min="28" max="28" width="47" style="5" bestFit="1" customWidth="1"/>
    <col min="29" max="29" width="49" style="5" bestFit="1" customWidth="1"/>
    <col min="30" max="30" width="17.625" style="5" bestFit="1" customWidth="1"/>
    <col min="31" max="31" width="9" style="5" bestFit="1" customWidth="1"/>
    <col min="32" max="32" width="10.75" style="5" bestFit="1" customWidth="1"/>
    <col min="33" max="33" width="15.375" style="5" customWidth="1"/>
    <col min="34" max="34" width="16.625" style="5" bestFit="1" customWidth="1"/>
    <col min="35" max="35" width="17.625" style="5" bestFit="1" customWidth="1"/>
    <col min="36" max="36" width="25.875" style="5" bestFit="1" customWidth="1"/>
    <col min="37" max="37" width="35" style="5" bestFit="1" customWidth="1"/>
    <col min="38" max="38" width="36.625" style="5" bestFit="1" customWidth="1"/>
    <col min="39" max="39" width="43" style="5" bestFit="1" customWidth="1"/>
    <col min="40" max="41" width="19.625" style="5" bestFit="1" customWidth="1"/>
    <col min="42" max="42" width="30" style="5" bestFit="1" customWidth="1"/>
    <col min="43" max="43" width="16.375" style="5" bestFit="1" customWidth="1"/>
    <col min="44" max="45" width="23.75" style="5" bestFit="1" customWidth="1"/>
    <col min="46" max="46" width="13.375" style="5" bestFit="1" customWidth="1"/>
    <col min="47" max="47" width="20.625" style="5" bestFit="1" customWidth="1"/>
    <col min="48" max="48" width="21.5" style="5" bestFit="1" customWidth="1"/>
    <col min="49" max="49" width="22" style="5" bestFit="1" customWidth="1"/>
    <col min="50" max="50" width="19.25" style="5" bestFit="1" customWidth="1"/>
    <col min="51" max="51" width="35.375" style="5" bestFit="1" customWidth="1"/>
    <col min="52" max="52" width="31.125" style="5" bestFit="1" customWidth="1"/>
    <col min="53" max="53" width="27.625" style="5" bestFit="1" customWidth="1"/>
    <col min="54" max="54" width="36.125" style="5" bestFit="1" customWidth="1"/>
    <col min="55" max="55" width="9.5" style="5" bestFit="1" customWidth="1"/>
    <col min="56" max="56" width="7.875" style="5" bestFit="1" customWidth="1"/>
    <col min="57" max="57" width="17.625" style="5" bestFit="1" customWidth="1"/>
    <col min="58" max="58" width="58.875" style="5" bestFit="1" customWidth="1"/>
    <col min="59" max="59" width="59.25" style="5" bestFit="1" customWidth="1"/>
    <col min="60" max="60" width="58" style="5" bestFit="1" customWidth="1"/>
    <col min="61" max="61" width="58.25" style="5" bestFit="1" customWidth="1"/>
    <col min="62" max="62" width="55.625" style="5" bestFit="1" customWidth="1"/>
    <col min="63" max="63" width="58.25" style="5" bestFit="1" customWidth="1"/>
    <col min="64" max="64" width="59.625" style="5" bestFit="1" customWidth="1"/>
    <col min="65" max="65" width="61.5" style="5" bestFit="1" customWidth="1"/>
    <col min="66" max="66" width="41.25" style="5" bestFit="1" customWidth="1"/>
    <col min="67" max="67" width="41.5" style="5" bestFit="1" customWidth="1"/>
    <col min="68" max="68" width="40.375" style="5" bestFit="1" customWidth="1"/>
    <col min="69" max="69" width="40.625" style="5" bestFit="1" customWidth="1"/>
    <col min="70" max="70" width="37.875" style="5" bestFit="1" customWidth="1"/>
    <col min="71" max="71" width="40.625" style="5" bestFit="1" customWidth="1"/>
    <col min="72" max="72" width="41.875" style="5" bestFit="1" customWidth="1"/>
    <col min="73" max="73" width="43.875" style="5" bestFit="1" customWidth="1"/>
    <col min="74" max="74" width="47" style="5" bestFit="1" customWidth="1"/>
    <col min="75" max="75" width="47.25" style="5" bestFit="1" customWidth="1"/>
    <col min="76" max="76" width="46.125" style="5" bestFit="1" customWidth="1"/>
    <col min="77" max="77" width="46.375" style="5" bestFit="1" customWidth="1"/>
    <col min="78" max="78" width="41.375" style="5" bestFit="1" customWidth="1"/>
    <col min="79" max="79" width="44.125" style="5" bestFit="1" customWidth="1"/>
    <col min="80" max="80" width="45.375" style="5" bestFit="1" customWidth="1"/>
    <col min="81" max="81" width="47.25" style="5" bestFit="1" customWidth="1"/>
    <col min="82" max="82" width="54.625" style="5" bestFit="1" customWidth="1"/>
    <col min="83" max="83" width="52" style="5" bestFit="1" customWidth="1"/>
    <col min="84" max="84" width="53.25" style="5" bestFit="1" customWidth="1"/>
    <col min="85" max="85" width="53.5" style="5" bestFit="1" customWidth="1"/>
    <col min="86" max="86" width="52.375" style="5" bestFit="1" customWidth="1"/>
    <col min="87" max="87" width="52.625" style="5" bestFit="1" customWidth="1"/>
    <col min="88" max="88" width="44.875" style="5" bestFit="1" customWidth="1"/>
    <col min="89" max="89" width="54.375" style="5" bestFit="1" customWidth="1"/>
    <col min="90" max="90" width="49.125" style="5" bestFit="1" customWidth="1"/>
    <col min="91" max="91" width="55.375" style="5" bestFit="1" customWidth="1"/>
    <col min="92" max="92" width="32.25" style="5" bestFit="1" customWidth="1"/>
    <col min="93" max="93" width="32.5" style="5" bestFit="1" customWidth="1"/>
    <col min="94" max="94" width="31.375" style="5" bestFit="1" customWidth="1"/>
    <col min="95" max="95" width="31.625" style="5" bestFit="1" customWidth="1"/>
    <col min="96" max="96" width="24.25" style="5" bestFit="1" customWidth="1"/>
    <col min="97" max="97" width="30.5" style="5" bestFit="1" customWidth="1"/>
    <col min="98" max="98" width="25.125" style="5" bestFit="1" customWidth="1"/>
    <col min="99" max="99" width="31.5" style="5" bestFit="1" customWidth="1"/>
    <col min="100" max="100" width="25.875" style="5" bestFit="1" customWidth="1"/>
    <col min="101" max="101" width="35" style="5" bestFit="1" customWidth="1"/>
    <col min="102" max="102" width="36.625" style="5" bestFit="1" customWidth="1"/>
    <col min="103" max="103" width="27.625" style="5" bestFit="1" customWidth="1"/>
    <col min="104" max="104" width="36.75" style="5" bestFit="1" customWidth="1"/>
    <col min="105" max="105" width="39.5" style="5" bestFit="1" customWidth="1"/>
    <col min="106" max="106" width="42" style="5" bestFit="1" customWidth="1"/>
    <col min="107" max="107" width="51.125" style="5" bestFit="1" customWidth="1"/>
    <col min="108" max="108" width="53.75" style="5" bestFit="1" customWidth="1"/>
    <col min="109" max="109" width="21" style="5" bestFit="1" customWidth="1"/>
    <col min="110" max="248" width="11.25" style="5"/>
    <col min="249" max="249" width="18.5" style="5" customWidth="1"/>
    <col min="250" max="250" width="30.875" style="5" customWidth="1"/>
    <col min="251" max="251" width="15.25" style="5" customWidth="1"/>
    <col min="252" max="252" width="14.875" style="5" customWidth="1"/>
    <col min="253" max="504" width="11.25" style="5"/>
    <col min="505" max="505" width="18.5" style="5" customWidth="1"/>
    <col min="506" max="506" width="30.875" style="5" customWidth="1"/>
    <col min="507" max="507" width="15.25" style="5" customWidth="1"/>
    <col min="508" max="508" width="14.875" style="5" customWidth="1"/>
    <col min="509" max="760" width="11.25" style="5"/>
    <col min="761" max="761" width="18.5" style="5" customWidth="1"/>
    <col min="762" max="762" width="30.875" style="5" customWidth="1"/>
    <col min="763" max="763" width="15.25" style="5" customWidth="1"/>
    <col min="764" max="764" width="14.875" style="5" customWidth="1"/>
    <col min="765" max="1016" width="11.25" style="5"/>
    <col min="1017" max="1017" width="18.5" style="5" customWidth="1"/>
    <col min="1018" max="1018" width="30.875" style="5" customWidth="1"/>
    <col min="1019" max="1019" width="15.25" style="5" customWidth="1"/>
    <col min="1020" max="1020" width="14.875" style="5" customWidth="1"/>
    <col min="1021" max="1272" width="11.25" style="5"/>
    <col min="1273" max="1273" width="18.5" style="5" customWidth="1"/>
    <col min="1274" max="1274" width="30.875" style="5" customWidth="1"/>
    <col min="1275" max="1275" width="15.25" style="5" customWidth="1"/>
    <col min="1276" max="1276" width="14.875" style="5" customWidth="1"/>
    <col min="1277" max="1528" width="11.25" style="5"/>
    <col min="1529" max="1529" width="18.5" style="5" customWidth="1"/>
    <col min="1530" max="1530" width="30.875" style="5" customWidth="1"/>
    <col min="1531" max="1531" width="15.25" style="5" customWidth="1"/>
    <col min="1532" max="1532" width="14.875" style="5" customWidth="1"/>
    <col min="1533" max="1784" width="11.25" style="5"/>
    <col min="1785" max="1785" width="18.5" style="5" customWidth="1"/>
    <col min="1786" max="1786" width="30.875" style="5" customWidth="1"/>
    <col min="1787" max="1787" width="15.25" style="5" customWidth="1"/>
    <col min="1788" max="1788" width="14.875" style="5" customWidth="1"/>
    <col min="1789" max="2040" width="11.25" style="5"/>
    <col min="2041" max="2041" width="18.5" style="5" customWidth="1"/>
    <col min="2042" max="2042" width="30.875" style="5" customWidth="1"/>
    <col min="2043" max="2043" width="15.25" style="5" customWidth="1"/>
    <col min="2044" max="2044" width="14.875" style="5" customWidth="1"/>
    <col min="2045" max="2296" width="11.25" style="5"/>
    <col min="2297" max="2297" width="18.5" style="5" customWidth="1"/>
    <col min="2298" max="2298" width="30.875" style="5" customWidth="1"/>
    <col min="2299" max="2299" width="15.25" style="5" customWidth="1"/>
    <col min="2300" max="2300" width="14.875" style="5" customWidth="1"/>
    <col min="2301" max="2552" width="11.25" style="5"/>
    <col min="2553" max="2553" width="18.5" style="5" customWidth="1"/>
    <col min="2554" max="2554" width="30.875" style="5" customWidth="1"/>
    <col min="2555" max="2555" width="15.25" style="5" customWidth="1"/>
    <col min="2556" max="2556" width="14.875" style="5" customWidth="1"/>
    <col min="2557" max="2808" width="11.25" style="5"/>
    <col min="2809" max="2809" width="18.5" style="5" customWidth="1"/>
    <col min="2810" max="2810" width="30.875" style="5" customWidth="1"/>
    <col min="2811" max="2811" width="15.25" style="5" customWidth="1"/>
    <col min="2812" max="2812" width="14.875" style="5" customWidth="1"/>
    <col min="2813" max="3064" width="11.25" style="5"/>
    <col min="3065" max="3065" width="18.5" style="5" customWidth="1"/>
    <col min="3066" max="3066" width="30.875" style="5" customWidth="1"/>
    <col min="3067" max="3067" width="15.25" style="5" customWidth="1"/>
    <col min="3068" max="3068" width="14.875" style="5" customWidth="1"/>
    <col min="3069" max="3320" width="11.25" style="5"/>
    <col min="3321" max="3321" width="18.5" style="5" customWidth="1"/>
    <col min="3322" max="3322" width="30.875" style="5" customWidth="1"/>
    <col min="3323" max="3323" width="15.25" style="5" customWidth="1"/>
    <col min="3324" max="3324" width="14.875" style="5" customWidth="1"/>
    <col min="3325" max="3576" width="11.25" style="5"/>
    <col min="3577" max="3577" width="18.5" style="5" customWidth="1"/>
    <col min="3578" max="3578" width="30.875" style="5" customWidth="1"/>
    <col min="3579" max="3579" width="15.25" style="5" customWidth="1"/>
    <col min="3580" max="3580" width="14.875" style="5" customWidth="1"/>
    <col min="3581" max="3832" width="11.25" style="5"/>
    <col min="3833" max="3833" width="18.5" style="5" customWidth="1"/>
    <col min="3834" max="3834" width="30.875" style="5" customWidth="1"/>
    <col min="3835" max="3835" width="15.25" style="5" customWidth="1"/>
    <col min="3836" max="3836" width="14.875" style="5" customWidth="1"/>
    <col min="3837" max="4088" width="11.25" style="5"/>
    <col min="4089" max="4089" width="18.5" style="5" customWidth="1"/>
    <col min="4090" max="4090" width="30.875" style="5" customWidth="1"/>
    <col min="4091" max="4091" width="15.25" style="5" customWidth="1"/>
    <col min="4092" max="4092" width="14.875" style="5" customWidth="1"/>
    <col min="4093" max="4344" width="11.25" style="5"/>
    <col min="4345" max="4345" width="18.5" style="5" customWidth="1"/>
    <col min="4346" max="4346" width="30.875" style="5" customWidth="1"/>
    <col min="4347" max="4347" width="15.25" style="5" customWidth="1"/>
    <col min="4348" max="4348" width="14.875" style="5" customWidth="1"/>
    <col min="4349" max="4600" width="11.25" style="5"/>
    <col min="4601" max="4601" width="18.5" style="5" customWidth="1"/>
    <col min="4602" max="4602" width="30.875" style="5" customWidth="1"/>
    <col min="4603" max="4603" width="15.25" style="5" customWidth="1"/>
    <col min="4604" max="4604" width="14.875" style="5" customWidth="1"/>
    <col min="4605" max="4856" width="11.25" style="5"/>
    <col min="4857" max="4857" width="18.5" style="5" customWidth="1"/>
    <col min="4858" max="4858" width="30.875" style="5" customWidth="1"/>
    <col min="4859" max="4859" width="15.25" style="5" customWidth="1"/>
    <col min="4860" max="4860" width="14.875" style="5" customWidth="1"/>
    <col min="4861" max="5112" width="11.25" style="5"/>
    <col min="5113" max="5113" width="18.5" style="5" customWidth="1"/>
    <col min="5114" max="5114" width="30.875" style="5" customWidth="1"/>
    <col min="5115" max="5115" width="15.25" style="5" customWidth="1"/>
    <col min="5116" max="5116" width="14.875" style="5" customWidth="1"/>
    <col min="5117" max="5368" width="11.25" style="5"/>
    <col min="5369" max="5369" width="18.5" style="5" customWidth="1"/>
    <col min="5370" max="5370" width="30.875" style="5" customWidth="1"/>
    <col min="5371" max="5371" width="15.25" style="5" customWidth="1"/>
    <col min="5372" max="5372" width="14.875" style="5" customWidth="1"/>
    <col min="5373" max="5624" width="11.25" style="5"/>
    <col min="5625" max="5625" width="18.5" style="5" customWidth="1"/>
    <col min="5626" max="5626" width="30.875" style="5" customWidth="1"/>
    <col min="5627" max="5627" width="15.25" style="5" customWidth="1"/>
    <col min="5628" max="5628" width="14.875" style="5" customWidth="1"/>
    <col min="5629" max="5880" width="11.25" style="5"/>
    <col min="5881" max="5881" width="18.5" style="5" customWidth="1"/>
    <col min="5882" max="5882" width="30.875" style="5" customWidth="1"/>
    <col min="5883" max="5883" width="15.25" style="5" customWidth="1"/>
    <col min="5884" max="5884" width="14.875" style="5" customWidth="1"/>
    <col min="5885" max="6136" width="11.25" style="5"/>
    <col min="6137" max="6137" width="18.5" style="5" customWidth="1"/>
    <col min="6138" max="6138" width="30.875" style="5" customWidth="1"/>
    <col min="6139" max="6139" width="15.25" style="5" customWidth="1"/>
    <col min="6140" max="6140" width="14.875" style="5" customWidth="1"/>
    <col min="6141" max="6392" width="11.25" style="5"/>
    <col min="6393" max="6393" width="18.5" style="5" customWidth="1"/>
    <col min="6394" max="6394" width="30.875" style="5" customWidth="1"/>
    <col min="6395" max="6395" width="15.25" style="5" customWidth="1"/>
    <col min="6396" max="6396" width="14.875" style="5" customWidth="1"/>
    <col min="6397" max="6648" width="11.25" style="5"/>
    <col min="6649" max="6649" width="18.5" style="5" customWidth="1"/>
    <col min="6650" max="6650" width="30.875" style="5" customWidth="1"/>
    <col min="6651" max="6651" width="15.25" style="5" customWidth="1"/>
    <col min="6652" max="6652" width="14.875" style="5" customWidth="1"/>
    <col min="6653" max="6904" width="11.25" style="5"/>
    <col min="6905" max="6905" width="18.5" style="5" customWidth="1"/>
    <col min="6906" max="6906" width="30.875" style="5" customWidth="1"/>
    <col min="6907" max="6907" width="15.25" style="5" customWidth="1"/>
    <col min="6908" max="6908" width="14.875" style="5" customWidth="1"/>
    <col min="6909" max="7160" width="11.25" style="5"/>
    <col min="7161" max="7161" width="18.5" style="5" customWidth="1"/>
    <col min="7162" max="7162" width="30.875" style="5" customWidth="1"/>
    <col min="7163" max="7163" width="15.25" style="5" customWidth="1"/>
    <col min="7164" max="7164" width="14.875" style="5" customWidth="1"/>
    <col min="7165" max="7416" width="11.25" style="5"/>
    <col min="7417" max="7417" width="18.5" style="5" customWidth="1"/>
    <col min="7418" max="7418" width="30.875" style="5" customWidth="1"/>
    <col min="7419" max="7419" width="15.25" style="5" customWidth="1"/>
    <col min="7420" max="7420" width="14.875" style="5" customWidth="1"/>
    <col min="7421" max="7672" width="11.25" style="5"/>
    <col min="7673" max="7673" width="18.5" style="5" customWidth="1"/>
    <col min="7674" max="7674" width="30.875" style="5" customWidth="1"/>
    <col min="7675" max="7675" width="15.25" style="5" customWidth="1"/>
    <col min="7676" max="7676" width="14.875" style="5" customWidth="1"/>
    <col min="7677" max="7928" width="11.25" style="5"/>
    <col min="7929" max="7929" width="18.5" style="5" customWidth="1"/>
    <col min="7930" max="7930" width="30.875" style="5" customWidth="1"/>
    <col min="7931" max="7931" width="15.25" style="5" customWidth="1"/>
    <col min="7932" max="7932" width="14.875" style="5" customWidth="1"/>
    <col min="7933" max="8184" width="11.25" style="5"/>
    <col min="8185" max="8185" width="18.5" style="5" customWidth="1"/>
    <col min="8186" max="8186" width="30.875" style="5" customWidth="1"/>
    <col min="8187" max="8187" width="15.25" style="5" customWidth="1"/>
    <col min="8188" max="8188" width="14.875" style="5" customWidth="1"/>
    <col min="8189" max="8440" width="11.25" style="5"/>
    <col min="8441" max="8441" width="18.5" style="5" customWidth="1"/>
    <col min="8442" max="8442" width="30.875" style="5" customWidth="1"/>
    <col min="8443" max="8443" width="15.25" style="5" customWidth="1"/>
    <col min="8444" max="8444" width="14.875" style="5" customWidth="1"/>
    <col min="8445" max="8696" width="11.25" style="5"/>
    <col min="8697" max="8697" width="18.5" style="5" customWidth="1"/>
    <col min="8698" max="8698" width="30.875" style="5" customWidth="1"/>
    <col min="8699" max="8699" width="15.25" style="5" customWidth="1"/>
    <col min="8700" max="8700" width="14.875" style="5" customWidth="1"/>
    <col min="8701" max="8952" width="11.25" style="5"/>
    <col min="8953" max="8953" width="18.5" style="5" customWidth="1"/>
    <col min="8954" max="8954" width="30.875" style="5" customWidth="1"/>
    <col min="8955" max="8955" width="15.25" style="5" customWidth="1"/>
    <col min="8956" max="8956" width="14.875" style="5" customWidth="1"/>
    <col min="8957" max="9208" width="11.25" style="5"/>
    <col min="9209" max="9209" width="18.5" style="5" customWidth="1"/>
    <col min="9210" max="9210" width="30.875" style="5" customWidth="1"/>
    <col min="9211" max="9211" width="15.25" style="5" customWidth="1"/>
    <col min="9212" max="9212" width="14.875" style="5" customWidth="1"/>
    <col min="9213" max="9464" width="11.25" style="5"/>
    <col min="9465" max="9465" width="18.5" style="5" customWidth="1"/>
    <col min="9466" max="9466" width="30.875" style="5" customWidth="1"/>
    <col min="9467" max="9467" width="15.25" style="5" customWidth="1"/>
    <col min="9468" max="9468" width="14.875" style="5" customWidth="1"/>
    <col min="9469" max="9720" width="11.25" style="5"/>
    <col min="9721" max="9721" width="18.5" style="5" customWidth="1"/>
    <col min="9722" max="9722" width="30.875" style="5" customWidth="1"/>
    <col min="9723" max="9723" width="15.25" style="5" customWidth="1"/>
    <col min="9724" max="9724" width="14.875" style="5" customWidth="1"/>
    <col min="9725" max="9976" width="11.25" style="5"/>
    <col min="9977" max="9977" width="18.5" style="5" customWidth="1"/>
    <col min="9978" max="9978" width="30.875" style="5" customWidth="1"/>
    <col min="9979" max="9979" width="15.25" style="5" customWidth="1"/>
    <col min="9980" max="9980" width="14.875" style="5" customWidth="1"/>
    <col min="9981" max="10232" width="11.25" style="5"/>
    <col min="10233" max="10233" width="18.5" style="5" customWidth="1"/>
    <col min="10234" max="10234" width="30.875" style="5" customWidth="1"/>
    <col min="10235" max="10235" width="15.25" style="5" customWidth="1"/>
    <col min="10236" max="10236" width="14.875" style="5" customWidth="1"/>
    <col min="10237" max="10488" width="11.25" style="5"/>
    <col min="10489" max="10489" width="18.5" style="5" customWidth="1"/>
    <col min="10490" max="10490" width="30.875" style="5" customWidth="1"/>
    <col min="10491" max="10491" width="15.25" style="5" customWidth="1"/>
    <col min="10492" max="10492" width="14.875" style="5" customWidth="1"/>
    <col min="10493" max="10744" width="11.25" style="5"/>
    <col min="10745" max="10745" width="18.5" style="5" customWidth="1"/>
    <col min="10746" max="10746" width="30.875" style="5" customWidth="1"/>
    <col min="10747" max="10747" width="15.25" style="5" customWidth="1"/>
    <col min="10748" max="10748" width="14.875" style="5" customWidth="1"/>
    <col min="10749" max="11000" width="11.25" style="5"/>
    <col min="11001" max="11001" width="18.5" style="5" customWidth="1"/>
    <col min="11002" max="11002" width="30.875" style="5" customWidth="1"/>
    <col min="11003" max="11003" width="15.25" style="5" customWidth="1"/>
    <col min="11004" max="11004" width="14.875" style="5" customWidth="1"/>
    <col min="11005" max="11256" width="11.25" style="5"/>
    <col min="11257" max="11257" width="18.5" style="5" customWidth="1"/>
    <col min="11258" max="11258" width="30.875" style="5" customWidth="1"/>
    <col min="11259" max="11259" width="15.25" style="5" customWidth="1"/>
    <col min="11260" max="11260" width="14.875" style="5" customWidth="1"/>
    <col min="11261" max="11512" width="11.25" style="5"/>
    <col min="11513" max="11513" width="18.5" style="5" customWidth="1"/>
    <col min="11514" max="11514" width="30.875" style="5" customWidth="1"/>
    <col min="11515" max="11515" width="15.25" style="5" customWidth="1"/>
    <col min="11516" max="11516" width="14.875" style="5" customWidth="1"/>
    <col min="11517" max="11768" width="11.25" style="5"/>
    <col min="11769" max="11769" width="18.5" style="5" customWidth="1"/>
    <col min="11770" max="11770" width="30.875" style="5" customWidth="1"/>
    <col min="11771" max="11771" width="15.25" style="5" customWidth="1"/>
    <col min="11772" max="11772" width="14.875" style="5" customWidth="1"/>
    <col min="11773" max="12024" width="11.25" style="5"/>
    <col min="12025" max="12025" width="18.5" style="5" customWidth="1"/>
    <col min="12026" max="12026" width="30.875" style="5" customWidth="1"/>
    <col min="12027" max="12027" width="15.25" style="5" customWidth="1"/>
    <col min="12028" max="12028" width="14.875" style="5" customWidth="1"/>
    <col min="12029" max="12280" width="11.25" style="5"/>
    <col min="12281" max="12281" width="18.5" style="5" customWidth="1"/>
    <col min="12282" max="12282" width="30.875" style="5" customWidth="1"/>
    <col min="12283" max="12283" width="15.25" style="5" customWidth="1"/>
    <col min="12284" max="12284" width="14.875" style="5" customWidth="1"/>
    <col min="12285" max="12536" width="11.25" style="5"/>
    <col min="12537" max="12537" width="18.5" style="5" customWidth="1"/>
    <col min="12538" max="12538" width="30.875" style="5" customWidth="1"/>
    <col min="12539" max="12539" width="15.25" style="5" customWidth="1"/>
    <col min="12540" max="12540" width="14.875" style="5" customWidth="1"/>
    <col min="12541" max="12792" width="11.25" style="5"/>
    <col min="12793" max="12793" width="18.5" style="5" customWidth="1"/>
    <col min="12794" max="12794" width="30.875" style="5" customWidth="1"/>
    <col min="12795" max="12795" width="15.25" style="5" customWidth="1"/>
    <col min="12796" max="12796" width="14.875" style="5" customWidth="1"/>
    <col min="12797" max="13048" width="11.25" style="5"/>
    <col min="13049" max="13049" width="18.5" style="5" customWidth="1"/>
    <col min="13050" max="13050" width="30.875" style="5" customWidth="1"/>
    <col min="13051" max="13051" width="15.25" style="5" customWidth="1"/>
    <col min="13052" max="13052" width="14.875" style="5" customWidth="1"/>
    <col min="13053" max="13304" width="11.25" style="5"/>
    <col min="13305" max="13305" width="18.5" style="5" customWidth="1"/>
    <col min="13306" max="13306" width="30.875" style="5" customWidth="1"/>
    <col min="13307" max="13307" width="15.25" style="5" customWidth="1"/>
    <col min="13308" max="13308" width="14.875" style="5" customWidth="1"/>
    <col min="13309" max="13560" width="11.25" style="5"/>
    <col min="13561" max="13561" width="18.5" style="5" customWidth="1"/>
    <col min="13562" max="13562" width="30.875" style="5" customWidth="1"/>
    <col min="13563" max="13563" width="15.25" style="5" customWidth="1"/>
    <col min="13564" max="13564" width="14.875" style="5" customWidth="1"/>
    <col min="13565" max="13816" width="11.25" style="5"/>
    <col min="13817" max="13817" width="18.5" style="5" customWidth="1"/>
    <col min="13818" max="13818" width="30.875" style="5" customWidth="1"/>
    <col min="13819" max="13819" width="15.25" style="5" customWidth="1"/>
    <col min="13820" max="13820" width="14.875" style="5" customWidth="1"/>
    <col min="13821" max="14072" width="11.25" style="5"/>
    <col min="14073" max="14073" width="18.5" style="5" customWidth="1"/>
    <col min="14074" max="14074" width="30.875" style="5" customWidth="1"/>
    <col min="14075" max="14075" width="15.25" style="5" customWidth="1"/>
    <col min="14076" max="14076" width="14.875" style="5" customWidth="1"/>
    <col min="14077" max="14328" width="11.25" style="5"/>
    <col min="14329" max="14329" width="18.5" style="5" customWidth="1"/>
    <col min="14330" max="14330" width="30.875" style="5" customWidth="1"/>
    <col min="14331" max="14331" width="15.25" style="5" customWidth="1"/>
    <col min="14332" max="14332" width="14.875" style="5" customWidth="1"/>
    <col min="14333" max="14584" width="11.25" style="5"/>
    <col min="14585" max="14585" width="18.5" style="5" customWidth="1"/>
    <col min="14586" max="14586" width="30.875" style="5" customWidth="1"/>
    <col min="14587" max="14587" width="15.25" style="5" customWidth="1"/>
    <col min="14588" max="14588" width="14.875" style="5" customWidth="1"/>
    <col min="14589" max="14840" width="11.25" style="5"/>
    <col min="14841" max="14841" width="18.5" style="5" customWidth="1"/>
    <col min="14842" max="14842" width="30.875" style="5" customWidth="1"/>
    <col min="14843" max="14843" width="15.25" style="5" customWidth="1"/>
    <col min="14844" max="14844" width="14.875" style="5" customWidth="1"/>
    <col min="14845" max="15096" width="11.25" style="5"/>
    <col min="15097" max="15097" width="18.5" style="5" customWidth="1"/>
    <col min="15098" max="15098" width="30.875" style="5" customWidth="1"/>
    <col min="15099" max="15099" width="15.25" style="5" customWidth="1"/>
    <col min="15100" max="15100" width="14.875" style="5" customWidth="1"/>
    <col min="15101" max="15352" width="11.25" style="5"/>
    <col min="15353" max="15353" width="18.5" style="5" customWidth="1"/>
    <col min="15354" max="15354" width="30.875" style="5" customWidth="1"/>
    <col min="15355" max="15355" width="15.25" style="5" customWidth="1"/>
    <col min="15356" max="15356" width="14.875" style="5" customWidth="1"/>
    <col min="15357" max="15608" width="11.25" style="5"/>
    <col min="15609" max="15609" width="18.5" style="5" customWidth="1"/>
    <col min="15610" max="15610" width="30.875" style="5" customWidth="1"/>
    <col min="15611" max="15611" width="15.25" style="5" customWidth="1"/>
    <col min="15612" max="15612" width="14.875" style="5" customWidth="1"/>
    <col min="15613" max="15864" width="11.25" style="5"/>
    <col min="15865" max="15865" width="18.5" style="5" customWidth="1"/>
    <col min="15866" max="15866" width="30.875" style="5" customWidth="1"/>
    <col min="15867" max="15867" width="15.25" style="5" customWidth="1"/>
    <col min="15868" max="15868" width="14.875" style="5" customWidth="1"/>
    <col min="15869" max="16120" width="11.25" style="5"/>
    <col min="16121" max="16121" width="18.5" style="5" customWidth="1"/>
    <col min="16122" max="16122" width="30.875" style="5" customWidth="1"/>
    <col min="16123" max="16123" width="15.25" style="5" customWidth="1"/>
    <col min="16124" max="16124" width="14.875" style="5" customWidth="1"/>
    <col min="16125" max="16384" width="11.25" style="5"/>
  </cols>
  <sheetData>
    <row r="1" spans="1:20" s="12" customFormat="1" ht="18.75" thickBot="1" x14ac:dyDescent="0.3">
      <c r="A1" s="38" t="s">
        <v>126</v>
      </c>
      <c r="B1" s="37"/>
      <c r="C1" s="37"/>
      <c r="D1" s="37"/>
      <c r="E1" s="37"/>
      <c r="F1" s="37"/>
      <c r="G1" s="37"/>
      <c r="H1" s="37"/>
      <c r="I1" s="36"/>
      <c r="M1" s="24"/>
    </row>
    <row r="2" spans="1:20" s="12" customFormat="1" ht="13.5" thickBot="1" x14ac:dyDescent="0.25">
      <c r="A2" s="35"/>
      <c r="B2" s="32"/>
      <c r="C2" s="32"/>
      <c r="D2" s="34"/>
      <c r="E2" s="33"/>
      <c r="F2" s="33"/>
      <c r="G2" s="32"/>
      <c r="H2" s="31">
        <f>'[1]DIAME IRSA'!D2</f>
        <v>45658</v>
      </c>
      <c r="I2" s="30">
        <f>H2</f>
        <v>45658</v>
      </c>
      <c r="M2" s="24"/>
    </row>
    <row r="3" spans="1:20" s="12" customFormat="1" ht="47.25" x14ac:dyDescent="0.2">
      <c r="A3" s="29" t="s">
        <v>125</v>
      </c>
      <c r="B3" s="28" t="s">
        <v>120</v>
      </c>
      <c r="C3" s="28" t="s">
        <v>124</v>
      </c>
      <c r="D3" s="28" t="s">
        <v>5</v>
      </c>
      <c r="E3" s="28" t="s">
        <v>123</v>
      </c>
      <c r="F3" s="28" t="s">
        <v>122</v>
      </c>
      <c r="G3" s="27" t="s">
        <v>121</v>
      </c>
      <c r="H3" s="26" t="str">
        <f>"Salaire Net Imposable "&amp;CHOOSE(MONTH('[1]DIAME IRSA'!D2),"Janv","Fév","Mars","Avr","Mai","Juin","Juil","Aou","Sept","Oct","Nov","Déc")&amp;" "&amp;YEAR('[1]DIAME IRSA'!D2)</f>
        <v>Salaire Net Imposable Janv 2025</v>
      </c>
      <c r="I3" s="25" t="str">
        <f>"IRSA "&amp;CHOOSE(MONTH('[1]DIAME IRSA'!D2),"Janv","Fév","Mars","Avr","Mai","Juin","Juil","Aou","Sept","Oct","Nov","Déc")&amp;" "&amp;YEAR('[1]DIAME IRSA'!D2)</f>
        <v>IRSA Janv 2025</v>
      </c>
      <c r="M3" s="24"/>
    </row>
    <row r="4" spans="1:20" ht="15.75" hidden="1" x14ac:dyDescent="0.25">
      <c r="A4" s="22" t="s">
        <v>6</v>
      </c>
      <c r="B4" s="22" t="s">
        <v>120</v>
      </c>
      <c r="C4" s="22" t="s">
        <v>119</v>
      </c>
      <c r="D4" s="23" t="s">
        <v>5</v>
      </c>
      <c r="E4" s="22" t="s">
        <v>118</v>
      </c>
      <c r="F4" s="22" t="s">
        <v>117</v>
      </c>
      <c r="G4" t="s">
        <v>7</v>
      </c>
      <c r="H4" t="s">
        <v>8</v>
      </c>
      <c r="I4" t="s">
        <v>9</v>
      </c>
    </row>
    <row r="5" spans="1:20" ht="15.75" x14ac:dyDescent="0.25">
      <c r="A5" t="s">
        <v>116</v>
      </c>
      <c r="B5" s="11">
        <v>43313</v>
      </c>
      <c r="C5" s="11">
        <v>45302</v>
      </c>
      <c r="D5" t="s">
        <v>11</v>
      </c>
      <c r="E5" t="s">
        <v>68</v>
      </c>
      <c r="F5" t="s">
        <v>65</v>
      </c>
      <c r="G5" s="16">
        <v>21348769</v>
      </c>
      <c r="H5" s="16">
        <v>21135272</v>
      </c>
      <c r="I5" s="16">
        <v>209272</v>
      </c>
    </row>
    <row r="6" spans="1:20" ht="15.75" x14ac:dyDescent="0.25">
      <c r="A6" t="s">
        <v>115</v>
      </c>
      <c r="B6" s="11">
        <v>43647</v>
      </c>
      <c r="C6" s="11">
        <v>44073</v>
      </c>
      <c r="D6" t="s">
        <v>114</v>
      </c>
      <c r="E6" t="s">
        <v>68</v>
      </c>
      <c r="F6" t="s">
        <v>65</v>
      </c>
      <c r="G6" s="16">
        <v>9351013</v>
      </c>
      <c r="H6" s="16">
        <v>9257500</v>
      </c>
      <c r="I6" s="16">
        <v>787500</v>
      </c>
    </row>
    <row r="7" spans="1:20" ht="15.75" x14ac:dyDescent="0.25">
      <c r="A7" s="18" t="s">
        <v>53</v>
      </c>
      <c r="B7" s="20">
        <v>45108</v>
      </c>
      <c r="C7" s="18" t="s">
        <v>67</v>
      </c>
      <c r="D7" s="18" t="s">
        <v>52</v>
      </c>
      <c r="E7" s="21" t="s">
        <v>66</v>
      </c>
      <c r="F7" s="18" t="s">
        <v>80</v>
      </c>
      <c r="G7" s="19">
        <v>41902790</v>
      </c>
      <c r="H7" s="19">
        <v>41528295</v>
      </c>
      <c r="I7" s="19">
        <v>6548159</v>
      </c>
      <c r="J7"/>
      <c r="K7"/>
      <c r="L7"/>
      <c r="M7"/>
      <c r="N7"/>
      <c r="O7"/>
      <c r="P7"/>
      <c r="Q7"/>
      <c r="R7"/>
      <c r="S7"/>
      <c r="T7"/>
    </row>
    <row r="8" spans="1:20" s="10" customFormat="1" ht="15.75" x14ac:dyDescent="0.25">
      <c r="A8" t="s">
        <v>113</v>
      </c>
      <c r="B8" s="11">
        <v>44013</v>
      </c>
      <c r="C8" s="11">
        <v>44042</v>
      </c>
      <c r="D8" t="s">
        <v>112</v>
      </c>
      <c r="E8" t="s">
        <v>66</v>
      </c>
      <c r="F8" t="s">
        <v>65</v>
      </c>
      <c r="G8" s="16">
        <v>224242</v>
      </c>
      <c r="H8" s="16">
        <v>222000</v>
      </c>
      <c r="I8" s="16">
        <v>2000</v>
      </c>
      <c r="J8"/>
      <c r="K8"/>
      <c r="L8"/>
      <c r="M8"/>
      <c r="N8"/>
      <c r="O8"/>
      <c r="P8"/>
      <c r="Q8"/>
      <c r="R8"/>
      <c r="S8"/>
      <c r="T8"/>
    </row>
    <row r="9" spans="1:20" ht="15.75" x14ac:dyDescent="0.25">
      <c r="A9" s="18" t="s">
        <v>37</v>
      </c>
      <c r="B9" s="20">
        <v>44013</v>
      </c>
      <c r="C9" t="s">
        <v>67</v>
      </c>
      <c r="D9" s="18" t="s">
        <v>36</v>
      </c>
      <c r="E9" t="s">
        <v>66</v>
      </c>
      <c r="F9" s="18" t="s">
        <v>87</v>
      </c>
      <c r="G9" s="19">
        <v>6096183</v>
      </c>
      <c r="H9" s="19">
        <v>6035225</v>
      </c>
      <c r="I9" s="19">
        <v>147000</v>
      </c>
      <c r="J9"/>
      <c r="K9"/>
      <c r="L9"/>
      <c r="M9"/>
      <c r="N9"/>
      <c r="O9"/>
      <c r="P9"/>
      <c r="Q9"/>
      <c r="R9"/>
      <c r="S9"/>
      <c r="T9"/>
    </row>
    <row r="10" spans="1:20" ht="15.75" x14ac:dyDescent="0.25">
      <c r="A10" s="18" t="s">
        <v>62</v>
      </c>
      <c r="B10" s="11">
        <v>44013</v>
      </c>
      <c r="C10" t="s">
        <v>67</v>
      </c>
      <c r="D10" t="s">
        <v>61</v>
      </c>
      <c r="E10" t="s">
        <v>66</v>
      </c>
      <c r="F10" t="s">
        <v>69</v>
      </c>
      <c r="G10" s="16">
        <v>36780588</v>
      </c>
      <c r="H10" s="16">
        <v>36412775</v>
      </c>
      <c r="I10" s="16">
        <v>2303515</v>
      </c>
      <c r="J10"/>
      <c r="K10"/>
      <c r="L10"/>
      <c r="M10"/>
      <c r="N10"/>
      <c r="O10"/>
      <c r="P10"/>
      <c r="Q10"/>
      <c r="R10"/>
      <c r="S10"/>
      <c r="T10"/>
    </row>
    <row r="11" spans="1:20" ht="15.75" x14ac:dyDescent="0.25">
      <c r="A11" s="18" t="s">
        <v>111</v>
      </c>
      <c r="B11" s="20">
        <v>44044</v>
      </c>
      <c r="C11" s="11">
        <v>45396</v>
      </c>
      <c r="D11" t="s">
        <v>11</v>
      </c>
      <c r="E11" t="s">
        <v>66</v>
      </c>
      <c r="F11" t="s">
        <v>65</v>
      </c>
      <c r="G11" s="16" t="e">
        <v>#REF!</v>
      </c>
      <c r="H11" s="16" t="e">
        <v>#REF!</v>
      </c>
      <c r="I11" s="16" t="e">
        <v>#REF!</v>
      </c>
      <c r="J11"/>
      <c r="K11"/>
      <c r="L11"/>
      <c r="M11"/>
      <c r="N11"/>
      <c r="O11"/>
      <c r="P11"/>
      <c r="Q11"/>
      <c r="R11"/>
      <c r="S11"/>
      <c r="T11"/>
    </row>
    <row r="12" spans="1:20" ht="15.75" x14ac:dyDescent="0.25">
      <c r="A12" t="s">
        <v>110</v>
      </c>
      <c r="B12" s="11">
        <v>44748</v>
      </c>
      <c r="C12" s="11">
        <v>44796</v>
      </c>
      <c r="D12" t="s">
        <v>100</v>
      </c>
      <c r="E12" t="s">
        <v>66</v>
      </c>
      <c r="F12" t="s">
        <v>80</v>
      </c>
      <c r="G12" s="16">
        <v>1407197</v>
      </c>
      <c r="H12" s="16">
        <v>1393125</v>
      </c>
      <c r="I12" s="16">
        <v>180125</v>
      </c>
      <c r="J12"/>
      <c r="K12"/>
      <c r="L12"/>
      <c r="M12"/>
      <c r="N12"/>
      <c r="O12"/>
      <c r="P12"/>
      <c r="Q12"/>
      <c r="R12"/>
      <c r="S12"/>
      <c r="T12"/>
    </row>
    <row r="13" spans="1:20" ht="15.75" x14ac:dyDescent="0.25">
      <c r="A13" s="18" t="s">
        <v>46</v>
      </c>
      <c r="B13" s="20">
        <v>43647</v>
      </c>
      <c r="C13" t="s">
        <v>67</v>
      </c>
      <c r="D13" s="18" t="s">
        <v>45</v>
      </c>
      <c r="E13" s="21" t="s">
        <v>68</v>
      </c>
      <c r="F13" s="18" t="s">
        <v>65</v>
      </c>
      <c r="G13" s="19">
        <v>39849087</v>
      </c>
      <c r="H13" s="19">
        <v>39450600</v>
      </c>
      <c r="I13" s="19">
        <v>1918340</v>
      </c>
      <c r="J13"/>
      <c r="K13"/>
      <c r="L13"/>
      <c r="M13"/>
      <c r="N13"/>
      <c r="O13"/>
      <c r="P13"/>
      <c r="Q13"/>
      <c r="R13"/>
      <c r="S13"/>
      <c r="T13"/>
    </row>
    <row r="14" spans="1:20" ht="15.75" x14ac:dyDescent="0.25">
      <c r="A14" s="18" t="s">
        <v>12</v>
      </c>
      <c r="B14" s="20">
        <v>44652</v>
      </c>
      <c r="C14" t="s">
        <v>67</v>
      </c>
      <c r="D14" s="18" t="s">
        <v>11</v>
      </c>
      <c r="E14" s="21" t="s">
        <v>90</v>
      </c>
      <c r="F14" s="18" t="s">
        <v>65</v>
      </c>
      <c r="G14" s="19">
        <v>5481755</v>
      </c>
      <c r="H14" s="19">
        <v>5127555</v>
      </c>
      <c r="I14" s="19">
        <v>102000</v>
      </c>
      <c r="J14"/>
      <c r="K14"/>
      <c r="L14"/>
      <c r="M14"/>
      <c r="N14"/>
      <c r="O14"/>
      <c r="P14"/>
      <c r="Q14"/>
      <c r="R14"/>
      <c r="S14"/>
      <c r="T14"/>
    </row>
    <row r="15" spans="1:20" ht="15.75" x14ac:dyDescent="0.25">
      <c r="A15" s="18" t="s">
        <v>33</v>
      </c>
      <c r="B15" s="20">
        <v>44566</v>
      </c>
      <c r="C15" t="s">
        <v>67</v>
      </c>
      <c r="D15" s="18" t="s">
        <v>32</v>
      </c>
      <c r="E15" t="s">
        <v>90</v>
      </c>
      <c r="F15" s="18" t="s">
        <v>69</v>
      </c>
      <c r="G15" s="19">
        <v>36594057</v>
      </c>
      <c r="H15" s="19">
        <v>36228125</v>
      </c>
      <c r="I15" s="19">
        <v>3823125</v>
      </c>
      <c r="J15"/>
      <c r="K15"/>
      <c r="L15"/>
      <c r="M15"/>
      <c r="N15"/>
      <c r="O15"/>
      <c r="P15"/>
      <c r="Q15"/>
      <c r="R15"/>
      <c r="S15"/>
      <c r="T15"/>
    </row>
    <row r="16" spans="1:20" ht="15.75" x14ac:dyDescent="0.25">
      <c r="A16" t="s">
        <v>109</v>
      </c>
      <c r="B16" s="11">
        <v>43965</v>
      </c>
      <c r="C16" s="11">
        <v>44473</v>
      </c>
      <c r="D16" t="s">
        <v>108</v>
      </c>
      <c r="E16" t="s">
        <v>66</v>
      </c>
      <c r="F16" t="s">
        <v>69</v>
      </c>
      <c r="G16" s="16">
        <v>9247980</v>
      </c>
      <c r="H16" s="16">
        <v>9155500</v>
      </c>
      <c r="I16" s="16">
        <v>636600</v>
      </c>
      <c r="J16"/>
      <c r="K16"/>
      <c r="L16"/>
      <c r="M16"/>
      <c r="N16"/>
      <c r="O16"/>
      <c r="P16"/>
      <c r="Q16"/>
      <c r="R16"/>
      <c r="S16"/>
      <c r="T16"/>
    </row>
    <row r="17" spans="1:20" ht="15.75" x14ac:dyDescent="0.25">
      <c r="A17" s="18" t="s">
        <v>29</v>
      </c>
      <c r="B17" s="20">
        <v>44013</v>
      </c>
      <c r="C17" t="s">
        <v>67</v>
      </c>
      <c r="D17" s="18" t="s">
        <v>28</v>
      </c>
      <c r="E17" s="21" t="s">
        <v>68</v>
      </c>
      <c r="F17" s="18" t="s">
        <v>65</v>
      </c>
      <c r="G17" s="19">
        <v>22962476</v>
      </c>
      <c r="H17" s="19">
        <v>22732829</v>
      </c>
      <c r="I17" s="19">
        <v>279329</v>
      </c>
      <c r="J17"/>
      <c r="K17"/>
      <c r="L17"/>
      <c r="M17"/>
      <c r="N17"/>
      <c r="O17"/>
      <c r="P17"/>
      <c r="Q17"/>
      <c r="R17"/>
      <c r="S17"/>
      <c r="T17"/>
    </row>
    <row r="18" spans="1:20" ht="15.75" x14ac:dyDescent="0.25">
      <c r="A18" s="18" t="s">
        <v>13</v>
      </c>
      <c r="B18" s="20">
        <v>44652</v>
      </c>
      <c r="C18" t="s">
        <v>67</v>
      </c>
      <c r="D18" s="18" t="s">
        <v>11</v>
      </c>
      <c r="E18" s="21" t="s">
        <v>90</v>
      </c>
      <c r="F18" s="18" t="s">
        <v>65</v>
      </c>
      <c r="G18" s="19">
        <v>3602671</v>
      </c>
      <c r="H18" s="19">
        <v>3566639</v>
      </c>
      <c r="I18" s="19">
        <v>102000</v>
      </c>
      <c r="J18"/>
      <c r="K18"/>
      <c r="L18"/>
      <c r="M18"/>
      <c r="N18"/>
      <c r="O18"/>
      <c r="P18"/>
      <c r="Q18"/>
      <c r="R18"/>
      <c r="S18"/>
      <c r="T18"/>
    </row>
    <row r="19" spans="1:20" ht="15.75" x14ac:dyDescent="0.25">
      <c r="A19" t="s">
        <v>107</v>
      </c>
      <c r="B19" s="11">
        <v>43952</v>
      </c>
      <c r="C19" s="11">
        <v>44135</v>
      </c>
      <c r="D19" t="s">
        <v>28</v>
      </c>
      <c r="E19" t="s">
        <v>68</v>
      </c>
      <c r="F19" t="s">
        <v>65</v>
      </c>
      <c r="G19" s="16">
        <v>1769698</v>
      </c>
      <c r="H19" s="16">
        <v>1752000</v>
      </c>
      <c r="I19" s="16">
        <v>12000</v>
      </c>
      <c r="J19"/>
      <c r="K19"/>
      <c r="L19"/>
      <c r="M19"/>
      <c r="N19"/>
      <c r="O19"/>
      <c r="P19"/>
      <c r="Q19"/>
      <c r="R19"/>
      <c r="S19"/>
      <c r="T19"/>
    </row>
    <row r="20" spans="1:20" ht="15.75" x14ac:dyDescent="0.25">
      <c r="A20" t="s">
        <v>106</v>
      </c>
      <c r="B20" s="11">
        <v>44713</v>
      </c>
      <c r="C20" s="11">
        <v>45016</v>
      </c>
      <c r="D20" t="s">
        <v>11</v>
      </c>
      <c r="E20" t="s">
        <v>68</v>
      </c>
      <c r="F20" t="s">
        <v>65</v>
      </c>
      <c r="G20" s="16">
        <v>3209094</v>
      </c>
      <c r="H20" s="16">
        <v>3177000</v>
      </c>
      <c r="I20" s="16">
        <v>27000</v>
      </c>
      <c r="J20"/>
      <c r="K20"/>
      <c r="L20"/>
      <c r="M20"/>
      <c r="N20"/>
      <c r="O20"/>
      <c r="P20"/>
      <c r="Q20"/>
      <c r="R20"/>
      <c r="S20"/>
      <c r="T20"/>
    </row>
    <row r="21" spans="1:20" ht="15.75" x14ac:dyDescent="0.25">
      <c r="A21" t="s">
        <v>105</v>
      </c>
      <c r="B21" s="11">
        <v>43647</v>
      </c>
      <c r="C21" s="11">
        <v>45291</v>
      </c>
      <c r="D21" t="s">
        <v>104</v>
      </c>
      <c r="E21" t="s">
        <v>79</v>
      </c>
      <c r="F21" t="s">
        <v>103</v>
      </c>
      <c r="G21" s="16">
        <v>30953889</v>
      </c>
      <c r="H21" s="16">
        <v>30644350</v>
      </c>
      <c r="I21" s="16">
        <v>1328965</v>
      </c>
      <c r="J21"/>
      <c r="K21"/>
      <c r="L21"/>
      <c r="M21"/>
      <c r="N21"/>
      <c r="O21"/>
      <c r="P21"/>
      <c r="Q21"/>
      <c r="R21"/>
      <c r="S21"/>
      <c r="T21"/>
    </row>
    <row r="22" spans="1:20" ht="15.75" x14ac:dyDescent="0.25">
      <c r="A22" s="18" t="s">
        <v>15</v>
      </c>
      <c r="B22" s="20">
        <v>44137</v>
      </c>
      <c r="C22" t="s">
        <v>67</v>
      </c>
      <c r="D22" t="s">
        <v>11</v>
      </c>
      <c r="E22" s="21" t="s">
        <v>68</v>
      </c>
      <c r="F22" s="18" t="s">
        <v>65</v>
      </c>
      <c r="G22" s="19">
        <v>15542476</v>
      </c>
      <c r="H22" s="19">
        <v>15387040</v>
      </c>
      <c r="I22" s="19">
        <v>139000</v>
      </c>
      <c r="J22"/>
      <c r="K22"/>
      <c r="L22"/>
      <c r="M22"/>
      <c r="N22"/>
      <c r="O22"/>
      <c r="P22"/>
      <c r="Q22"/>
      <c r="R22"/>
      <c r="S22"/>
      <c r="T22"/>
    </row>
    <row r="23" spans="1:20" ht="15.75" x14ac:dyDescent="0.25">
      <c r="A23" s="18" t="s">
        <v>35</v>
      </c>
      <c r="B23" s="20">
        <v>43313</v>
      </c>
      <c r="C23" t="s">
        <v>67</v>
      </c>
      <c r="D23" s="18" t="s">
        <v>34</v>
      </c>
      <c r="E23" t="s">
        <v>68</v>
      </c>
      <c r="F23" s="18" t="s">
        <v>80</v>
      </c>
      <c r="G23" s="19">
        <v>84642036</v>
      </c>
      <c r="H23" s="19">
        <v>83795625</v>
      </c>
      <c r="I23" s="19">
        <v>10564625</v>
      </c>
      <c r="J23"/>
      <c r="K23"/>
      <c r="L23"/>
      <c r="M23"/>
      <c r="N23"/>
      <c r="O23"/>
      <c r="P23"/>
      <c r="Q23"/>
      <c r="R23"/>
      <c r="S23"/>
      <c r="T23"/>
    </row>
    <row r="24" spans="1:20" ht="15.75" x14ac:dyDescent="0.25">
      <c r="A24" t="s">
        <v>102</v>
      </c>
      <c r="B24" s="11">
        <v>43647</v>
      </c>
      <c r="C24" s="11">
        <v>43769</v>
      </c>
      <c r="D24" t="s">
        <v>28</v>
      </c>
      <c r="E24" t="s">
        <v>68</v>
      </c>
      <c r="F24" t="s">
        <v>65</v>
      </c>
      <c r="G24" s="16">
        <v>1212120</v>
      </c>
      <c r="H24" s="16">
        <v>1200000</v>
      </c>
      <c r="I24" s="16">
        <v>8000</v>
      </c>
      <c r="J24"/>
      <c r="K24"/>
      <c r="L24"/>
      <c r="M24"/>
      <c r="N24"/>
      <c r="O24"/>
      <c r="P24"/>
      <c r="Q24"/>
      <c r="R24"/>
      <c r="S24"/>
      <c r="T24"/>
    </row>
    <row r="25" spans="1:20" ht="15.75" x14ac:dyDescent="0.25">
      <c r="A25" s="18" t="s">
        <v>20</v>
      </c>
      <c r="B25" s="20">
        <v>45231</v>
      </c>
      <c r="C25" t="s">
        <v>67</v>
      </c>
      <c r="D25" s="18" t="s">
        <v>11</v>
      </c>
      <c r="E25" s="21" t="s">
        <v>66</v>
      </c>
      <c r="F25" s="18" t="s">
        <v>65</v>
      </c>
      <c r="G25" s="19" t="e">
        <v>#REF!</v>
      </c>
      <c r="H25" s="19" t="e">
        <v>#REF!</v>
      </c>
      <c r="I25" s="19" t="e">
        <v>#REF!</v>
      </c>
      <c r="J25"/>
      <c r="K25"/>
      <c r="L25"/>
      <c r="M25"/>
      <c r="N25"/>
      <c r="O25"/>
      <c r="P25"/>
      <c r="Q25"/>
      <c r="R25"/>
      <c r="S25"/>
      <c r="T25"/>
    </row>
    <row r="26" spans="1:20" ht="15.75" x14ac:dyDescent="0.25">
      <c r="A26" s="18" t="s">
        <v>16</v>
      </c>
      <c r="B26" s="20">
        <v>43921</v>
      </c>
      <c r="C26" t="s">
        <v>67</v>
      </c>
      <c r="D26" t="s">
        <v>11</v>
      </c>
      <c r="E26" s="21" t="s">
        <v>90</v>
      </c>
      <c r="F26" s="18" t="s">
        <v>65</v>
      </c>
      <c r="G26" s="19">
        <v>5555185</v>
      </c>
      <c r="H26" s="19">
        <v>5499637</v>
      </c>
      <c r="I26" s="19">
        <v>157000</v>
      </c>
      <c r="J26"/>
      <c r="K26"/>
      <c r="L26"/>
      <c r="M26"/>
      <c r="N26"/>
      <c r="O26"/>
      <c r="P26"/>
      <c r="Q26"/>
      <c r="R26"/>
      <c r="S26"/>
      <c r="T26"/>
    </row>
    <row r="27" spans="1:20" ht="15.75" x14ac:dyDescent="0.25">
      <c r="A27" s="18" t="s">
        <v>51</v>
      </c>
      <c r="B27" s="20">
        <v>43654</v>
      </c>
      <c r="C27" t="s">
        <v>67</v>
      </c>
      <c r="D27" s="18" t="s">
        <v>50</v>
      </c>
      <c r="E27" s="21" t="s">
        <v>68</v>
      </c>
      <c r="F27" s="18" t="s">
        <v>80</v>
      </c>
      <c r="G27" s="19">
        <v>65097504</v>
      </c>
      <c r="H27" s="19">
        <v>64446525</v>
      </c>
      <c r="I27" s="19">
        <v>7096805</v>
      </c>
      <c r="J27"/>
      <c r="K27"/>
      <c r="L27"/>
      <c r="M27"/>
      <c r="N27"/>
      <c r="O27"/>
      <c r="P27"/>
      <c r="Q27"/>
      <c r="R27"/>
      <c r="S27"/>
      <c r="T27"/>
    </row>
    <row r="28" spans="1:20" ht="15.75" x14ac:dyDescent="0.25">
      <c r="A28" t="s">
        <v>101</v>
      </c>
      <c r="B28" s="11">
        <v>45139</v>
      </c>
      <c r="C28" s="11">
        <v>45177</v>
      </c>
      <c r="D28" t="s">
        <v>100</v>
      </c>
      <c r="E28" t="s">
        <v>66</v>
      </c>
      <c r="F28" t="s">
        <v>80</v>
      </c>
      <c r="G28" s="16">
        <v>1775375</v>
      </c>
      <c r="H28" s="16">
        <v>1759375</v>
      </c>
      <c r="I28" s="16">
        <v>259375</v>
      </c>
      <c r="J28"/>
      <c r="K28"/>
      <c r="L28"/>
      <c r="M28"/>
      <c r="N28"/>
      <c r="O28"/>
      <c r="P28"/>
      <c r="Q28"/>
      <c r="R28"/>
      <c r="S28"/>
      <c r="T28"/>
    </row>
    <row r="29" spans="1:20" ht="15.75" x14ac:dyDescent="0.25">
      <c r="A29" t="s">
        <v>99</v>
      </c>
      <c r="B29" s="11">
        <v>44256</v>
      </c>
      <c r="C29" s="11">
        <v>44592</v>
      </c>
      <c r="D29" t="s">
        <v>98</v>
      </c>
      <c r="E29" t="s">
        <v>90</v>
      </c>
      <c r="F29" t="s">
        <v>80</v>
      </c>
      <c r="G29" s="16">
        <v>11548614</v>
      </c>
      <c r="H29" s="16">
        <v>11433125</v>
      </c>
      <c r="I29" s="16">
        <v>1203125</v>
      </c>
      <c r="J29"/>
      <c r="K29"/>
      <c r="L29"/>
      <c r="M29"/>
      <c r="N29"/>
      <c r="O29"/>
      <c r="P29"/>
      <c r="Q29"/>
      <c r="R29"/>
      <c r="S29"/>
      <c r="T29"/>
    </row>
    <row r="30" spans="1:20" ht="15.75" x14ac:dyDescent="0.25">
      <c r="A30" t="s">
        <v>97</v>
      </c>
      <c r="B30" s="11">
        <v>43647</v>
      </c>
      <c r="C30" s="11">
        <v>45291</v>
      </c>
      <c r="D30" t="s">
        <v>11</v>
      </c>
      <c r="E30" t="s">
        <v>66</v>
      </c>
      <c r="F30" t="s">
        <v>65</v>
      </c>
      <c r="G30" s="16">
        <v>21636449</v>
      </c>
      <c r="H30" s="16">
        <v>21420070</v>
      </c>
      <c r="I30" s="16">
        <v>165445</v>
      </c>
      <c r="J30"/>
      <c r="K30"/>
      <c r="L30"/>
      <c r="M30"/>
      <c r="N30"/>
      <c r="O30"/>
      <c r="P30"/>
      <c r="Q30"/>
      <c r="R30"/>
      <c r="S30"/>
      <c r="T30"/>
    </row>
    <row r="31" spans="1:20" ht="15.75" x14ac:dyDescent="0.25">
      <c r="A31" t="s">
        <v>96</v>
      </c>
      <c r="B31" s="11">
        <v>44713</v>
      </c>
      <c r="C31" s="11">
        <v>44834</v>
      </c>
      <c r="D31" t="s">
        <v>28</v>
      </c>
      <c r="E31" t="s">
        <v>66</v>
      </c>
      <c r="F31" t="s">
        <v>65</v>
      </c>
      <c r="G31" s="16">
        <v>1426264</v>
      </c>
      <c r="H31" s="16">
        <v>1412000</v>
      </c>
      <c r="I31" s="16">
        <v>12000</v>
      </c>
      <c r="J31"/>
      <c r="K31"/>
      <c r="L31"/>
      <c r="M31"/>
      <c r="N31"/>
      <c r="O31"/>
      <c r="P31"/>
      <c r="Q31"/>
      <c r="R31"/>
      <c r="S31"/>
      <c r="T31"/>
    </row>
    <row r="32" spans="1:20" ht="15.75" x14ac:dyDescent="0.25">
      <c r="A32" s="18" t="s">
        <v>95</v>
      </c>
      <c r="B32" s="11">
        <v>44470</v>
      </c>
      <c r="C32" s="11">
        <v>45580</v>
      </c>
      <c r="D32" t="s">
        <v>45</v>
      </c>
      <c r="E32" t="s">
        <v>66</v>
      </c>
      <c r="F32" t="s">
        <v>65</v>
      </c>
      <c r="G32" s="16">
        <v>10056283</v>
      </c>
      <c r="H32" s="16">
        <v>9955725</v>
      </c>
      <c r="I32" s="16">
        <v>244704</v>
      </c>
      <c r="J32"/>
      <c r="K32"/>
      <c r="L32"/>
      <c r="M32"/>
      <c r="N32"/>
      <c r="O32"/>
      <c r="P32"/>
      <c r="Q32"/>
      <c r="R32"/>
      <c r="S32"/>
      <c r="T32"/>
    </row>
    <row r="33" spans="1:20" ht="15.75" x14ac:dyDescent="0.25">
      <c r="A33" t="s">
        <v>94</v>
      </c>
      <c r="B33" s="11">
        <v>44473</v>
      </c>
      <c r="C33" s="11">
        <v>44553</v>
      </c>
      <c r="D33" t="s">
        <v>93</v>
      </c>
      <c r="E33" t="s">
        <v>66</v>
      </c>
      <c r="F33" t="s">
        <v>80</v>
      </c>
      <c r="G33" s="16">
        <v>3694192</v>
      </c>
      <c r="H33" s="16">
        <v>3657250</v>
      </c>
      <c r="I33" s="16">
        <v>435950</v>
      </c>
      <c r="J33"/>
      <c r="K33"/>
      <c r="L33"/>
      <c r="M33"/>
      <c r="N33"/>
      <c r="O33"/>
      <c r="P33"/>
      <c r="Q33"/>
      <c r="R33"/>
      <c r="S33"/>
      <c r="T33"/>
    </row>
    <row r="34" spans="1:20" ht="15.75" x14ac:dyDescent="0.25">
      <c r="A34" s="18" t="s">
        <v>92</v>
      </c>
      <c r="B34" s="20">
        <v>44566</v>
      </c>
      <c r="C34" s="11">
        <v>45682</v>
      </c>
      <c r="D34" t="s">
        <v>91</v>
      </c>
      <c r="E34" t="s">
        <v>90</v>
      </c>
      <c r="F34" t="s">
        <v>69</v>
      </c>
      <c r="G34" s="16">
        <v>35662872</v>
      </c>
      <c r="H34" s="16">
        <v>35306250</v>
      </c>
      <c r="I34" s="16">
        <v>3659250</v>
      </c>
      <c r="J34"/>
      <c r="K34"/>
      <c r="L34"/>
      <c r="M34"/>
      <c r="N34"/>
      <c r="O34"/>
      <c r="P34"/>
      <c r="Q34"/>
      <c r="R34"/>
      <c r="S34"/>
      <c r="T34"/>
    </row>
    <row r="35" spans="1:20" ht="15.75" x14ac:dyDescent="0.25">
      <c r="A35" t="s">
        <v>89</v>
      </c>
      <c r="B35" s="11">
        <v>44013</v>
      </c>
      <c r="C35" s="11">
        <v>45291</v>
      </c>
      <c r="D35" t="s">
        <v>11</v>
      </c>
      <c r="E35" t="s">
        <v>66</v>
      </c>
      <c r="F35" t="s">
        <v>65</v>
      </c>
      <c r="G35" s="16">
        <v>21469467</v>
      </c>
      <c r="H35" s="16">
        <v>21254780</v>
      </c>
      <c r="I35" s="16">
        <v>588491</v>
      </c>
      <c r="J35"/>
      <c r="K35"/>
      <c r="L35"/>
      <c r="M35"/>
      <c r="N35"/>
      <c r="O35"/>
      <c r="P35"/>
      <c r="Q35"/>
      <c r="R35"/>
      <c r="S35"/>
      <c r="T35"/>
    </row>
    <row r="36" spans="1:20" ht="15.75" x14ac:dyDescent="0.25">
      <c r="A36" s="18" t="s">
        <v>55</v>
      </c>
      <c r="B36" s="20">
        <v>43900</v>
      </c>
      <c r="C36" t="s">
        <v>67</v>
      </c>
      <c r="D36" t="s">
        <v>54</v>
      </c>
      <c r="E36" t="s">
        <v>68</v>
      </c>
      <c r="F36" t="s">
        <v>69</v>
      </c>
      <c r="G36" s="16">
        <v>47501861</v>
      </c>
      <c r="H36" s="16">
        <v>47026850</v>
      </c>
      <c r="I36" s="16">
        <v>4100870</v>
      </c>
      <c r="J36"/>
      <c r="K36"/>
      <c r="L36"/>
      <c r="M36"/>
      <c r="N36"/>
      <c r="O36"/>
      <c r="P36"/>
      <c r="Q36"/>
      <c r="R36"/>
      <c r="S36"/>
      <c r="T36"/>
    </row>
    <row r="37" spans="1:20" ht="15.75" x14ac:dyDescent="0.25">
      <c r="A37" s="18" t="s">
        <v>56</v>
      </c>
      <c r="B37" s="20">
        <v>43647</v>
      </c>
      <c r="C37" t="s">
        <v>67</v>
      </c>
      <c r="D37" t="s">
        <v>54</v>
      </c>
      <c r="E37" t="s">
        <v>66</v>
      </c>
      <c r="F37" t="s">
        <v>69</v>
      </c>
      <c r="G37" s="16">
        <v>29667839</v>
      </c>
      <c r="H37" s="16">
        <v>29371147</v>
      </c>
      <c r="I37" s="16">
        <v>542647</v>
      </c>
      <c r="J37"/>
      <c r="K37"/>
      <c r="L37"/>
      <c r="M37"/>
      <c r="N37"/>
      <c r="O37"/>
      <c r="P37"/>
      <c r="Q37"/>
      <c r="R37"/>
      <c r="S37"/>
      <c r="T37"/>
    </row>
    <row r="38" spans="1:20" ht="15.75" x14ac:dyDescent="0.25">
      <c r="A38" s="18" t="s">
        <v>40</v>
      </c>
      <c r="B38" s="11">
        <v>43647</v>
      </c>
      <c r="C38" t="s">
        <v>67</v>
      </c>
      <c r="D38" s="18" t="s">
        <v>39</v>
      </c>
      <c r="E38" s="21" t="s">
        <v>68</v>
      </c>
      <c r="F38" s="18" t="s">
        <v>73</v>
      </c>
      <c r="G38" s="19">
        <v>25712373</v>
      </c>
      <c r="H38" s="19">
        <v>25455249</v>
      </c>
      <c r="I38" s="19">
        <v>229667</v>
      </c>
      <c r="J38"/>
      <c r="K38"/>
      <c r="L38"/>
      <c r="M38"/>
      <c r="N38"/>
      <c r="O38"/>
      <c r="P38"/>
      <c r="Q38"/>
      <c r="R38"/>
      <c r="S38"/>
      <c r="T38"/>
    </row>
    <row r="39" spans="1:20" ht="15.75" x14ac:dyDescent="0.25">
      <c r="A39" t="s">
        <v>88</v>
      </c>
      <c r="B39" s="11">
        <v>44013</v>
      </c>
      <c r="C39" s="11">
        <v>44104</v>
      </c>
      <c r="D39" t="s">
        <v>76</v>
      </c>
      <c r="E39" t="s">
        <v>66</v>
      </c>
      <c r="F39" t="s">
        <v>65</v>
      </c>
      <c r="G39" s="16">
        <v>915153</v>
      </c>
      <c r="H39" s="16">
        <v>906000</v>
      </c>
      <c r="I39" s="16">
        <v>6000</v>
      </c>
      <c r="J39"/>
      <c r="K39"/>
      <c r="L39"/>
      <c r="M39"/>
      <c r="N39"/>
      <c r="O39"/>
      <c r="P39"/>
      <c r="Q39"/>
      <c r="R39"/>
      <c r="S39"/>
      <c r="T39"/>
    </row>
    <row r="40" spans="1:20" ht="15.75" x14ac:dyDescent="0.25">
      <c r="A40" s="18" t="s">
        <v>38</v>
      </c>
      <c r="B40" s="11">
        <v>43647</v>
      </c>
      <c r="C40" t="s">
        <v>67</v>
      </c>
      <c r="D40" s="18" t="s">
        <v>36</v>
      </c>
      <c r="E40" t="s">
        <v>68</v>
      </c>
      <c r="F40" s="18" t="s">
        <v>87</v>
      </c>
      <c r="G40" s="19">
        <v>6382319</v>
      </c>
      <c r="H40" s="19">
        <v>6318500</v>
      </c>
      <c r="I40" s="19">
        <v>171000</v>
      </c>
      <c r="J40"/>
      <c r="K40"/>
      <c r="L40"/>
      <c r="M40"/>
      <c r="N40"/>
      <c r="O40"/>
      <c r="P40"/>
      <c r="Q40"/>
      <c r="R40"/>
      <c r="S40"/>
      <c r="T40"/>
    </row>
    <row r="41" spans="1:20" ht="15.75" x14ac:dyDescent="0.25">
      <c r="A41" s="18" t="s">
        <v>86</v>
      </c>
      <c r="B41" s="20">
        <v>44713</v>
      </c>
      <c r="C41" s="11">
        <v>45415</v>
      </c>
      <c r="D41" t="s">
        <v>28</v>
      </c>
      <c r="E41" t="s">
        <v>66</v>
      </c>
      <c r="F41" t="s">
        <v>65</v>
      </c>
      <c r="G41" s="16">
        <v>8726270</v>
      </c>
      <c r="H41" s="16">
        <v>8639000</v>
      </c>
      <c r="I41" s="16">
        <v>69000</v>
      </c>
      <c r="J41"/>
      <c r="K41"/>
      <c r="L41"/>
      <c r="M41"/>
      <c r="N41"/>
      <c r="O41"/>
      <c r="P41"/>
      <c r="Q41"/>
      <c r="R41"/>
      <c r="S41"/>
      <c r="T41"/>
    </row>
    <row r="42" spans="1:20" ht="15.75" x14ac:dyDescent="0.25">
      <c r="A42" t="s">
        <v>85</v>
      </c>
      <c r="B42" s="11">
        <v>43313</v>
      </c>
      <c r="C42" s="11">
        <v>45291</v>
      </c>
      <c r="D42" t="s">
        <v>11</v>
      </c>
      <c r="E42" t="s">
        <v>68</v>
      </c>
      <c r="F42" t="s">
        <v>65</v>
      </c>
      <c r="G42" s="16">
        <v>22972213</v>
      </c>
      <c r="H42" s="16">
        <v>22742486</v>
      </c>
      <c r="I42" s="16">
        <v>383136</v>
      </c>
      <c r="J42"/>
      <c r="K42"/>
      <c r="L42"/>
      <c r="M42"/>
      <c r="N42"/>
      <c r="O42"/>
      <c r="P42"/>
      <c r="Q42"/>
      <c r="R42"/>
      <c r="S42"/>
      <c r="T42"/>
    </row>
    <row r="43" spans="1:20" ht="15.75" x14ac:dyDescent="0.25">
      <c r="A43" t="s">
        <v>84</v>
      </c>
      <c r="B43" s="11">
        <v>43710</v>
      </c>
      <c r="C43" s="11">
        <v>44207</v>
      </c>
      <c r="D43" t="s">
        <v>28</v>
      </c>
      <c r="E43" t="s">
        <v>68</v>
      </c>
      <c r="F43" t="s">
        <v>65</v>
      </c>
      <c r="G43" s="16">
        <v>4882820</v>
      </c>
      <c r="H43" s="16">
        <v>4834000</v>
      </c>
      <c r="I43" s="16">
        <v>34000</v>
      </c>
      <c r="J43"/>
      <c r="K43"/>
      <c r="L43"/>
      <c r="M43"/>
      <c r="N43"/>
      <c r="O43"/>
      <c r="P43"/>
      <c r="Q43"/>
      <c r="R43"/>
      <c r="S43"/>
      <c r="T43"/>
    </row>
    <row r="44" spans="1:20" ht="15.75" x14ac:dyDescent="0.25">
      <c r="A44" s="18" t="s">
        <v>60</v>
      </c>
      <c r="B44" s="20">
        <v>43647</v>
      </c>
      <c r="C44" t="s">
        <v>67</v>
      </c>
      <c r="D44" t="s">
        <v>59</v>
      </c>
      <c r="E44" t="s">
        <v>79</v>
      </c>
      <c r="F44" t="s">
        <v>80</v>
      </c>
      <c r="G44" s="16">
        <v>196568695</v>
      </c>
      <c r="H44" s="16">
        <v>195425275</v>
      </c>
      <c r="I44" s="16">
        <v>33044555</v>
      </c>
      <c r="J44"/>
      <c r="K44"/>
      <c r="L44"/>
      <c r="M44"/>
      <c r="N44"/>
      <c r="O44"/>
      <c r="P44"/>
      <c r="Q44"/>
      <c r="R44"/>
      <c r="S44"/>
      <c r="T44"/>
    </row>
    <row r="45" spans="1:20" ht="15.75" x14ac:dyDescent="0.25">
      <c r="A45" t="s">
        <v>83</v>
      </c>
      <c r="B45" s="11">
        <v>44861</v>
      </c>
      <c r="C45" s="11">
        <v>44957</v>
      </c>
      <c r="D45" t="s">
        <v>47</v>
      </c>
      <c r="E45" t="s">
        <v>66</v>
      </c>
      <c r="F45" t="s">
        <v>65</v>
      </c>
      <c r="G45" s="16">
        <v>567981</v>
      </c>
      <c r="H45" s="16">
        <v>562300</v>
      </c>
      <c r="I45" s="16">
        <v>9000</v>
      </c>
      <c r="J45"/>
      <c r="K45"/>
      <c r="L45"/>
      <c r="M45"/>
      <c r="N45"/>
      <c r="O45"/>
      <c r="P45"/>
      <c r="Q45"/>
      <c r="R45"/>
      <c r="S45"/>
      <c r="T45"/>
    </row>
    <row r="46" spans="1:20" ht="15.75" x14ac:dyDescent="0.25">
      <c r="A46" s="18" t="s">
        <v>41</v>
      </c>
      <c r="B46" s="11">
        <v>43647</v>
      </c>
      <c r="C46" t="s">
        <v>67</v>
      </c>
      <c r="D46" s="18" t="s">
        <v>39</v>
      </c>
      <c r="E46" s="21" t="s">
        <v>68</v>
      </c>
      <c r="F46" s="18" t="s">
        <v>73</v>
      </c>
      <c r="G46" s="19">
        <v>26032335</v>
      </c>
      <c r="H46" s="19">
        <v>25772010</v>
      </c>
      <c r="I46" s="19">
        <v>214938</v>
      </c>
      <c r="J46"/>
      <c r="K46"/>
      <c r="L46"/>
      <c r="M46"/>
      <c r="N46"/>
      <c r="O46"/>
      <c r="P46"/>
      <c r="Q46"/>
      <c r="R46"/>
      <c r="S46"/>
      <c r="T46"/>
    </row>
    <row r="47" spans="1:20" ht="15.75" x14ac:dyDescent="0.25">
      <c r="A47" t="s">
        <v>82</v>
      </c>
      <c r="B47" s="11">
        <v>43647</v>
      </c>
      <c r="C47" s="11">
        <v>45224</v>
      </c>
      <c r="D47" t="s">
        <v>81</v>
      </c>
      <c r="E47" t="s">
        <v>66</v>
      </c>
      <c r="F47" t="s">
        <v>80</v>
      </c>
      <c r="G47" s="16">
        <v>59875632</v>
      </c>
      <c r="H47" s="16">
        <v>59276875</v>
      </c>
      <c r="I47" s="16">
        <v>7542875</v>
      </c>
      <c r="J47"/>
      <c r="K47"/>
      <c r="L47"/>
      <c r="M47"/>
      <c r="N47"/>
      <c r="O47"/>
      <c r="P47"/>
      <c r="Q47"/>
      <c r="R47"/>
      <c r="S47"/>
      <c r="T47"/>
    </row>
    <row r="48" spans="1:20" ht="15.75" x14ac:dyDescent="0.25">
      <c r="A48" s="18" t="s">
        <v>44</v>
      </c>
      <c r="B48" s="20">
        <v>44270</v>
      </c>
      <c r="C48" t="s">
        <v>67</v>
      </c>
      <c r="D48" s="18" t="s">
        <v>43</v>
      </c>
      <c r="E48" s="21" t="s">
        <v>79</v>
      </c>
      <c r="F48" s="18" t="s">
        <v>80</v>
      </c>
      <c r="G48" s="19">
        <v>39776008</v>
      </c>
      <c r="H48" s="19">
        <v>39378250</v>
      </c>
      <c r="I48" s="19">
        <v>3283250</v>
      </c>
      <c r="J48"/>
      <c r="K48"/>
      <c r="L48"/>
      <c r="M48"/>
      <c r="N48"/>
      <c r="O48"/>
      <c r="P48"/>
      <c r="Q48"/>
      <c r="R48"/>
      <c r="S48"/>
      <c r="T48"/>
    </row>
    <row r="49" spans="1:20" ht="15.75" x14ac:dyDescent="0.25">
      <c r="A49" s="18" t="s">
        <v>31</v>
      </c>
      <c r="B49" s="20">
        <v>44725</v>
      </c>
      <c r="C49" t="s">
        <v>67</v>
      </c>
      <c r="D49" s="18" t="s">
        <v>30</v>
      </c>
      <c r="E49" t="s">
        <v>79</v>
      </c>
      <c r="F49" s="18" t="s">
        <v>65</v>
      </c>
      <c r="G49" s="19">
        <v>19344791</v>
      </c>
      <c r="H49" s="19">
        <v>19151353</v>
      </c>
      <c r="I49" s="19">
        <v>901353</v>
      </c>
      <c r="J49"/>
      <c r="K49"/>
      <c r="L49"/>
      <c r="M49"/>
      <c r="N49"/>
      <c r="O49"/>
      <c r="P49"/>
      <c r="Q49"/>
      <c r="R49"/>
      <c r="S49"/>
      <c r="T49"/>
    </row>
    <row r="50" spans="1:20" ht="15.75" x14ac:dyDescent="0.25">
      <c r="A50" s="18" t="s">
        <v>49</v>
      </c>
      <c r="B50" s="11">
        <v>44987</v>
      </c>
      <c r="C50" t="s">
        <v>67</v>
      </c>
      <c r="D50" t="s">
        <v>47</v>
      </c>
      <c r="E50" t="s">
        <v>66</v>
      </c>
      <c r="F50" t="s">
        <v>65</v>
      </c>
      <c r="G50" s="16">
        <v>7342433</v>
      </c>
      <c r="H50" s="16">
        <v>7269000</v>
      </c>
      <c r="I50" s="16">
        <v>69000</v>
      </c>
      <c r="J50"/>
      <c r="K50"/>
      <c r="L50"/>
      <c r="M50"/>
      <c r="N50"/>
      <c r="O50"/>
      <c r="P50"/>
      <c r="Q50"/>
      <c r="R50"/>
      <c r="S50"/>
      <c r="T50"/>
    </row>
    <row r="51" spans="1:20" ht="15.75" x14ac:dyDescent="0.25">
      <c r="A51" t="s">
        <v>78</v>
      </c>
      <c r="B51" s="11">
        <v>44713</v>
      </c>
      <c r="C51" s="11">
        <v>45302</v>
      </c>
      <c r="D51" t="s">
        <v>11</v>
      </c>
      <c r="E51" t="s">
        <v>68</v>
      </c>
      <c r="F51" t="s">
        <v>65</v>
      </c>
      <c r="G51" s="16">
        <v>6956572</v>
      </c>
      <c r="H51" s="16">
        <v>6887000</v>
      </c>
      <c r="I51" s="16">
        <v>57000</v>
      </c>
      <c r="J51"/>
      <c r="K51"/>
      <c r="L51"/>
      <c r="M51"/>
      <c r="N51"/>
      <c r="O51"/>
      <c r="P51"/>
      <c r="Q51"/>
      <c r="R51"/>
      <c r="S51"/>
      <c r="T51"/>
    </row>
    <row r="52" spans="1:20" ht="15.75" x14ac:dyDescent="0.25">
      <c r="A52" t="s">
        <v>77</v>
      </c>
      <c r="B52" s="11">
        <v>43952</v>
      </c>
      <c r="C52" s="11">
        <v>44135</v>
      </c>
      <c r="D52" t="s">
        <v>76</v>
      </c>
      <c r="E52" t="s">
        <v>68</v>
      </c>
      <c r="F52" t="s">
        <v>65</v>
      </c>
      <c r="G52" s="16">
        <v>1769698</v>
      </c>
      <c r="H52" s="16">
        <v>1752000</v>
      </c>
      <c r="I52" s="16">
        <v>12000</v>
      </c>
      <c r="J52"/>
      <c r="K52"/>
      <c r="L52"/>
      <c r="M52"/>
      <c r="N52"/>
      <c r="O52"/>
      <c r="P52"/>
      <c r="Q52"/>
      <c r="R52"/>
      <c r="S52"/>
      <c r="T52"/>
    </row>
    <row r="53" spans="1:20" ht="15.75" x14ac:dyDescent="0.25">
      <c r="A53" t="s">
        <v>19</v>
      </c>
      <c r="B53" s="11">
        <v>44805</v>
      </c>
      <c r="C53" t="s">
        <v>67</v>
      </c>
      <c r="D53" t="s">
        <v>11</v>
      </c>
      <c r="E53" t="s">
        <v>66</v>
      </c>
      <c r="F53" t="s">
        <v>65</v>
      </c>
      <c r="G53" s="16" t="e">
        <v>#REF!</v>
      </c>
      <c r="H53" s="16" t="e">
        <v>#REF!</v>
      </c>
      <c r="I53" s="16" t="e">
        <v>#REF!</v>
      </c>
      <c r="J53"/>
      <c r="K53"/>
      <c r="L53"/>
      <c r="M53"/>
      <c r="N53"/>
      <c r="O53"/>
      <c r="P53"/>
      <c r="Q53"/>
      <c r="R53"/>
      <c r="S53"/>
      <c r="T53"/>
    </row>
    <row r="54" spans="1:20" ht="15.75" x14ac:dyDescent="0.25">
      <c r="A54" s="18" t="s">
        <v>17</v>
      </c>
      <c r="B54" s="20">
        <v>44013</v>
      </c>
      <c r="C54" t="s">
        <v>67</v>
      </c>
      <c r="D54" t="s">
        <v>11</v>
      </c>
      <c r="E54" t="s">
        <v>66</v>
      </c>
      <c r="F54" t="s">
        <v>65</v>
      </c>
      <c r="G54" s="19">
        <v>22730992</v>
      </c>
      <c r="H54" s="19">
        <v>22503678</v>
      </c>
      <c r="I54" s="19">
        <v>270178</v>
      </c>
      <c r="J54"/>
      <c r="K54"/>
      <c r="L54"/>
      <c r="M54"/>
      <c r="N54"/>
      <c r="O54"/>
      <c r="P54"/>
      <c r="Q54"/>
      <c r="R54"/>
      <c r="S54"/>
      <c r="T54"/>
    </row>
    <row r="55" spans="1:20" ht="15.75" x14ac:dyDescent="0.25">
      <c r="A55" t="s">
        <v>75</v>
      </c>
      <c r="B55" s="11">
        <v>44743</v>
      </c>
      <c r="C55" s="11">
        <v>45112</v>
      </c>
      <c r="D55" t="s">
        <v>45</v>
      </c>
      <c r="E55" t="s">
        <v>66</v>
      </c>
      <c r="F55" t="s">
        <v>65</v>
      </c>
      <c r="G55" s="16">
        <v>5067898</v>
      </c>
      <c r="H55" s="16">
        <v>5017221</v>
      </c>
      <c r="I55" s="16">
        <v>67221</v>
      </c>
      <c r="J55"/>
      <c r="K55"/>
      <c r="L55"/>
      <c r="M55"/>
      <c r="N55"/>
      <c r="O55"/>
      <c r="P55"/>
      <c r="Q55"/>
      <c r="R55"/>
      <c r="S55"/>
      <c r="T55"/>
    </row>
    <row r="56" spans="1:20" ht="15.75" x14ac:dyDescent="0.25">
      <c r="A56" s="18" t="s">
        <v>74</v>
      </c>
      <c r="B56" s="20">
        <v>44105</v>
      </c>
      <c r="C56" s="11">
        <v>45672</v>
      </c>
      <c r="D56" t="s">
        <v>11</v>
      </c>
      <c r="E56" t="s">
        <v>68</v>
      </c>
      <c r="F56" t="s">
        <v>65</v>
      </c>
      <c r="G56" s="16">
        <v>14416124</v>
      </c>
      <c r="H56" s="16">
        <v>14271951</v>
      </c>
      <c r="I56" s="16">
        <v>138000</v>
      </c>
      <c r="J56"/>
      <c r="K56"/>
      <c r="L56"/>
      <c r="M56"/>
      <c r="N56"/>
      <c r="O56"/>
      <c r="P56"/>
      <c r="Q56"/>
      <c r="R56"/>
      <c r="S56"/>
      <c r="T56"/>
    </row>
    <row r="57" spans="1:20" ht="15.75" x14ac:dyDescent="0.25">
      <c r="A57" s="18" t="s">
        <v>57</v>
      </c>
      <c r="B57" s="20">
        <v>44533</v>
      </c>
      <c r="C57" t="s">
        <v>67</v>
      </c>
      <c r="D57" t="s">
        <v>54</v>
      </c>
      <c r="E57" t="s">
        <v>66</v>
      </c>
      <c r="F57" t="s">
        <v>69</v>
      </c>
      <c r="G57" s="16">
        <v>24737969</v>
      </c>
      <c r="H57" s="16">
        <v>24490590</v>
      </c>
      <c r="I57" s="16">
        <v>1398215</v>
      </c>
      <c r="J57"/>
      <c r="K57"/>
      <c r="L57"/>
      <c r="M57"/>
      <c r="N57"/>
      <c r="O57"/>
      <c r="P57"/>
      <c r="Q57"/>
      <c r="R57"/>
      <c r="S57"/>
      <c r="T57"/>
    </row>
    <row r="58" spans="1:20" ht="15.75" x14ac:dyDescent="0.25">
      <c r="A58" s="18" t="s">
        <v>58</v>
      </c>
      <c r="B58" s="20">
        <v>43647</v>
      </c>
      <c r="C58" t="s">
        <v>67</v>
      </c>
      <c r="D58" t="s">
        <v>54</v>
      </c>
      <c r="E58" t="s">
        <v>68</v>
      </c>
      <c r="F58" t="s">
        <v>69</v>
      </c>
      <c r="G58" s="16">
        <v>33683658</v>
      </c>
      <c r="H58" s="16">
        <v>33346813</v>
      </c>
      <c r="I58" s="16">
        <v>943023</v>
      </c>
      <c r="J58"/>
      <c r="K58"/>
      <c r="L58"/>
      <c r="M58"/>
      <c r="N58"/>
      <c r="O58"/>
      <c r="P58"/>
      <c r="Q58"/>
      <c r="R58"/>
      <c r="S58"/>
      <c r="T58"/>
    </row>
    <row r="59" spans="1:20" ht="15.75" x14ac:dyDescent="0.25">
      <c r="A59" s="18" t="s">
        <v>42</v>
      </c>
      <c r="B59" s="11">
        <v>43647</v>
      </c>
      <c r="C59" t="s">
        <v>67</v>
      </c>
      <c r="D59" s="18" t="s">
        <v>39</v>
      </c>
      <c r="E59" t="s">
        <v>68</v>
      </c>
      <c r="F59" s="18" t="s">
        <v>73</v>
      </c>
      <c r="G59" s="19">
        <v>25856063</v>
      </c>
      <c r="H59" s="19">
        <v>25597502</v>
      </c>
      <c r="I59" s="19">
        <v>234668</v>
      </c>
      <c r="J59"/>
      <c r="K59"/>
      <c r="L59"/>
      <c r="M59"/>
      <c r="N59"/>
      <c r="O59"/>
      <c r="P59"/>
      <c r="Q59"/>
      <c r="R59"/>
      <c r="S59"/>
      <c r="T59"/>
    </row>
    <row r="60" spans="1:20" ht="15.75" x14ac:dyDescent="0.25">
      <c r="A60" t="s">
        <v>72</v>
      </c>
      <c r="B60" s="11">
        <v>44713</v>
      </c>
      <c r="C60" s="11">
        <v>45016</v>
      </c>
      <c r="D60" t="s">
        <v>28</v>
      </c>
      <c r="E60" t="s">
        <v>68</v>
      </c>
      <c r="F60" t="s">
        <v>65</v>
      </c>
      <c r="G60" s="16">
        <v>3565660</v>
      </c>
      <c r="H60" s="16">
        <v>3530000</v>
      </c>
      <c r="I60" s="16">
        <v>30000</v>
      </c>
      <c r="J60"/>
      <c r="K60"/>
      <c r="L60"/>
      <c r="M60"/>
      <c r="N60"/>
      <c r="O60"/>
      <c r="P60"/>
      <c r="Q60"/>
      <c r="R60"/>
      <c r="S60"/>
      <c r="T60"/>
    </row>
    <row r="61" spans="1:20" ht="15.75" x14ac:dyDescent="0.25">
      <c r="A61" s="18" t="s">
        <v>18</v>
      </c>
      <c r="B61" s="20">
        <v>44713</v>
      </c>
      <c r="C61" t="s">
        <v>67</v>
      </c>
      <c r="D61" t="s">
        <v>11</v>
      </c>
      <c r="E61" t="s">
        <v>66</v>
      </c>
      <c r="F61" t="s">
        <v>65</v>
      </c>
      <c r="G61" s="19">
        <v>12127283</v>
      </c>
      <c r="H61" s="19">
        <v>12006000</v>
      </c>
      <c r="I61" s="19">
        <v>96000</v>
      </c>
      <c r="J61"/>
      <c r="K61"/>
      <c r="L61"/>
      <c r="M61"/>
      <c r="N61"/>
      <c r="O61"/>
      <c r="P61"/>
      <c r="Q61"/>
      <c r="R61"/>
      <c r="S61"/>
      <c r="T61"/>
    </row>
    <row r="62" spans="1:20" ht="15.75" x14ac:dyDescent="0.25">
      <c r="A62" s="18" t="s">
        <v>48</v>
      </c>
      <c r="B62" s="11">
        <v>44845</v>
      </c>
      <c r="C62" t="s">
        <v>67</v>
      </c>
      <c r="D62" t="s">
        <v>47</v>
      </c>
      <c r="E62" t="s">
        <v>68</v>
      </c>
      <c r="F62" t="s">
        <v>65</v>
      </c>
      <c r="G62" s="16">
        <v>8307089</v>
      </c>
      <c r="H62" s="16">
        <v>8224007</v>
      </c>
      <c r="I62" s="16">
        <v>84000</v>
      </c>
      <c r="J62"/>
      <c r="K62"/>
      <c r="L62"/>
      <c r="M62"/>
      <c r="N62"/>
      <c r="O62"/>
      <c r="P62"/>
      <c r="Q62"/>
      <c r="R62"/>
      <c r="S62"/>
      <c r="T62"/>
    </row>
    <row r="63" spans="1:20" ht="15.75" x14ac:dyDescent="0.25">
      <c r="A63" t="s">
        <v>71</v>
      </c>
      <c r="B63" s="11">
        <v>44621</v>
      </c>
      <c r="C63" s="11">
        <v>45046</v>
      </c>
      <c r="D63" t="s">
        <v>70</v>
      </c>
      <c r="E63" t="s">
        <v>66</v>
      </c>
      <c r="F63" t="s">
        <v>69</v>
      </c>
      <c r="G63" s="16">
        <v>7531199</v>
      </c>
      <c r="H63" s="16">
        <v>7455890</v>
      </c>
      <c r="I63" s="16">
        <v>305890</v>
      </c>
      <c r="J63"/>
      <c r="K63"/>
      <c r="L63"/>
      <c r="M63"/>
      <c r="N63"/>
      <c r="O63"/>
      <c r="P63"/>
      <c r="Q63"/>
      <c r="R63"/>
      <c r="S63"/>
      <c r="T63"/>
    </row>
    <row r="64" spans="1:20" ht="15.75" x14ac:dyDescent="0.25">
      <c r="A64" t="s">
        <v>21</v>
      </c>
      <c r="B64" s="11">
        <v>45323</v>
      </c>
      <c r="C64" t="s">
        <v>67</v>
      </c>
      <c r="D64" t="s">
        <v>11</v>
      </c>
      <c r="E64" t="s">
        <v>68</v>
      </c>
      <c r="F64" t="s">
        <v>65</v>
      </c>
      <c r="G64" s="16">
        <v>4278792</v>
      </c>
      <c r="H64" s="16">
        <v>4236000</v>
      </c>
      <c r="I64" s="16">
        <v>36000</v>
      </c>
      <c r="J64"/>
      <c r="K64"/>
      <c r="L64"/>
      <c r="M64"/>
      <c r="N64"/>
      <c r="O64"/>
      <c r="P64"/>
      <c r="Q64"/>
      <c r="R64"/>
      <c r="S64"/>
      <c r="T64"/>
    </row>
    <row r="65" spans="1:20" ht="15.75" x14ac:dyDescent="0.25">
      <c r="A65" t="s">
        <v>22</v>
      </c>
      <c r="B65" s="11">
        <v>45323</v>
      </c>
      <c r="C65" t="s">
        <v>67</v>
      </c>
      <c r="D65" t="s">
        <v>11</v>
      </c>
      <c r="E65" t="s">
        <v>68</v>
      </c>
      <c r="F65" t="s">
        <v>65</v>
      </c>
      <c r="G65" s="16">
        <v>4278792</v>
      </c>
      <c r="H65" s="16">
        <v>4236000</v>
      </c>
      <c r="I65" s="16">
        <v>36000</v>
      </c>
      <c r="J65"/>
      <c r="K65"/>
      <c r="L65"/>
      <c r="M65"/>
      <c r="N65"/>
      <c r="O65"/>
      <c r="P65"/>
      <c r="Q65"/>
      <c r="R65"/>
      <c r="S65"/>
      <c r="T65"/>
    </row>
    <row r="66" spans="1:20" ht="15.75" x14ac:dyDescent="0.25">
      <c r="A66" t="s">
        <v>23</v>
      </c>
      <c r="B66" s="11">
        <v>45352</v>
      </c>
      <c r="C66" t="s">
        <v>67</v>
      </c>
      <c r="D66" t="s">
        <v>11</v>
      </c>
      <c r="E66" t="s">
        <v>66</v>
      </c>
      <c r="F66" t="s">
        <v>65</v>
      </c>
      <c r="G66" s="16">
        <v>3922226</v>
      </c>
      <c r="H66" s="16">
        <v>3883000</v>
      </c>
      <c r="I66" s="16">
        <v>33000</v>
      </c>
      <c r="J66"/>
      <c r="K66"/>
      <c r="L66"/>
      <c r="M66"/>
      <c r="N66"/>
      <c r="O66"/>
      <c r="P66"/>
      <c r="Q66"/>
      <c r="R66"/>
      <c r="S66"/>
      <c r="T66"/>
    </row>
    <row r="67" spans="1:20" ht="15.75" x14ac:dyDescent="0.25">
      <c r="A67" t="s">
        <v>24</v>
      </c>
      <c r="B67" s="11">
        <v>45597</v>
      </c>
      <c r="C67" t="s">
        <v>67</v>
      </c>
      <c r="D67" t="s">
        <v>11</v>
      </c>
      <c r="E67" t="s">
        <v>68</v>
      </c>
      <c r="F67" t="s">
        <v>65</v>
      </c>
      <c r="G67" s="16">
        <v>1069698</v>
      </c>
      <c r="H67" s="16">
        <v>1059000</v>
      </c>
      <c r="I67" s="16">
        <v>9000</v>
      </c>
      <c r="J67"/>
      <c r="K67"/>
      <c r="L67"/>
      <c r="M67"/>
      <c r="N67"/>
      <c r="O67"/>
      <c r="P67"/>
      <c r="Q67"/>
      <c r="R67"/>
      <c r="S67"/>
      <c r="T67"/>
    </row>
    <row r="68" spans="1:20" ht="15.75" x14ac:dyDescent="0.25">
      <c r="A68" t="s">
        <v>25</v>
      </c>
      <c r="B68" s="11">
        <v>45597</v>
      </c>
      <c r="C68" t="s">
        <v>67</v>
      </c>
      <c r="D68" t="s">
        <v>11</v>
      </c>
      <c r="E68" t="s">
        <v>68</v>
      </c>
      <c r="F68" t="s">
        <v>65</v>
      </c>
      <c r="G68" s="16">
        <v>1069698</v>
      </c>
      <c r="H68" s="16">
        <v>1059000</v>
      </c>
      <c r="I68" s="16">
        <v>9000</v>
      </c>
      <c r="J68"/>
      <c r="K68"/>
      <c r="L68"/>
      <c r="M68"/>
      <c r="N68"/>
      <c r="O68"/>
      <c r="P68"/>
      <c r="Q68"/>
      <c r="R68"/>
      <c r="S68"/>
      <c r="T68"/>
    </row>
    <row r="69" spans="1:20" ht="15.75" x14ac:dyDescent="0.25">
      <c r="A69" t="s">
        <v>26</v>
      </c>
      <c r="B69" s="11">
        <v>45597</v>
      </c>
      <c r="C69" t="s">
        <v>67</v>
      </c>
      <c r="D69" t="s">
        <v>11</v>
      </c>
      <c r="E69" t="s">
        <v>66</v>
      </c>
      <c r="F69" t="s">
        <v>65</v>
      </c>
      <c r="G69" s="16">
        <v>918183</v>
      </c>
      <c r="H69" s="16">
        <v>909000</v>
      </c>
      <c r="I69" s="16">
        <v>9000</v>
      </c>
      <c r="J69"/>
      <c r="K69"/>
      <c r="L69"/>
      <c r="M69"/>
      <c r="N69"/>
      <c r="O69"/>
      <c r="P69"/>
      <c r="Q69"/>
      <c r="R69"/>
      <c r="S69"/>
      <c r="T69"/>
    </row>
    <row r="70" spans="1:20" ht="15.75" x14ac:dyDescent="0.25">
      <c r="A70" t="s">
        <v>27</v>
      </c>
      <c r="B70" s="11">
        <v>45597</v>
      </c>
      <c r="C70" t="s">
        <v>67</v>
      </c>
      <c r="D70" t="s">
        <v>11</v>
      </c>
      <c r="E70" t="s">
        <v>66</v>
      </c>
      <c r="F70" t="s">
        <v>65</v>
      </c>
      <c r="G70" s="16">
        <v>918183</v>
      </c>
      <c r="H70" s="16">
        <v>909000</v>
      </c>
      <c r="I70" s="16">
        <v>9000</v>
      </c>
      <c r="J70"/>
      <c r="K70"/>
      <c r="L70"/>
      <c r="M70"/>
      <c r="N70"/>
      <c r="O70"/>
      <c r="P70"/>
      <c r="Q70"/>
      <c r="R70"/>
      <c r="S70"/>
      <c r="T70"/>
    </row>
    <row r="71" spans="1:20" ht="15.75" x14ac:dyDescent="0.25">
      <c r="A71" s="17" t="s">
        <v>14</v>
      </c>
      <c r="B71" s="17"/>
      <c r="C71" s="17"/>
      <c r="D71" s="17"/>
      <c r="E71" s="17"/>
      <c r="F71" s="17"/>
      <c r="G71" s="16" t="e">
        <v>#REF!</v>
      </c>
      <c r="H71" s="16" t="e">
        <v>#REF!</v>
      </c>
      <c r="I71" s="16" t="e">
        <v>#REF!</v>
      </c>
      <c r="J71"/>
      <c r="K71"/>
      <c r="L71"/>
      <c r="M71"/>
      <c r="N71"/>
      <c r="O71"/>
      <c r="P71"/>
      <c r="Q71"/>
      <c r="R71"/>
      <c r="S71"/>
      <c r="T71"/>
    </row>
    <row r="72" spans="1:20" ht="15.75" x14ac:dyDescent="0.25">
      <c r="A72"/>
      <c r="B72"/>
      <c r="C72"/>
      <c r="D72" s="15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0" ht="15.75" x14ac:dyDescent="0.25">
      <c r="A73"/>
      <c r="B73"/>
      <c r="C73"/>
      <c r="D73" s="15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0" ht="15.75" x14ac:dyDescent="0.25">
      <c r="A74"/>
      <c r="B74"/>
      <c r="C74"/>
      <c r="D74" s="15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ht="15.75" x14ac:dyDescent="0.25">
      <c r="A75"/>
      <c r="B75"/>
      <c r="C75"/>
      <c r="D75" s="1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0" ht="15.75" x14ac:dyDescent="0.25">
      <c r="A76"/>
      <c r="B76"/>
      <c r="C76"/>
      <c r="D76" s="15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ht="15.75" x14ac:dyDescent="0.25">
      <c r="A77"/>
      <c r="B77"/>
      <c r="C77"/>
      <c r="D77" s="15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0" ht="15.75" x14ac:dyDescent="0.25">
      <c r="A78"/>
      <c r="B78"/>
      <c r="C78"/>
      <c r="D78" s="15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0" ht="15.75" x14ac:dyDescent="0.25">
      <c r="A79"/>
      <c r="B79"/>
      <c r="C79"/>
      <c r="D79" s="15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1:20" ht="15.75" x14ac:dyDescent="0.25">
      <c r="A80"/>
      <c r="B80"/>
      <c r="C80"/>
      <c r="D80" s="15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ht="15.75" x14ac:dyDescent="0.25">
      <c r="A81"/>
      <c r="B81"/>
      <c r="C81"/>
      <c r="D81" s="15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1:20" ht="15.75" x14ac:dyDescent="0.25">
      <c r="A82"/>
      <c r="B82"/>
      <c r="C82"/>
      <c r="D82" s="15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ht="15.75" x14ac:dyDescent="0.25">
      <c r="A83"/>
      <c r="B83"/>
      <c r="C83"/>
      <c r="D83" s="15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spans="1:20" ht="15.75" x14ac:dyDescent="0.25">
      <c r="A84"/>
      <c r="B84"/>
      <c r="C84"/>
      <c r="D84" s="15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ht="15.75" x14ac:dyDescent="0.25">
      <c r="A85"/>
      <c r="B85"/>
      <c r="C85"/>
      <c r="D85" s="1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ht="15.75" x14ac:dyDescent="0.25">
      <c r="A86"/>
      <c r="B86"/>
      <c r="C86"/>
      <c r="D86" s="15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ht="15.75" x14ac:dyDescent="0.25">
      <c r="A87"/>
      <c r="B87"/>
      <c r="C87"/>
      <c r="D87" s="15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spans="1:20" ht="15.75" x14ac:dyDescent="0.25">
      <c r="A88"/>
      <c r="B88"/>
      <c r="C88"/>
      <c r="D88" s="15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ht="15.75" x14ac:dyDescent="0.25">
      <c r="A89"/>
      <c r="B89"/>
      <c r="C89"/>
      <c r="D89" s="15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spans="1:20" ht="15.75" x14ac:dyDescent="0.25">
      <c r="A90"/>
      <c r="B90"/>
      <c r="C90"/>
      <c r="D90" s="15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ht="15.75" x14ac:dyDescent="0.25">
      <c r="A91"/>
      <c r="B91"/>
      <c r="C91"/>
      <c r="D91" s="15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spans="1:20" ht="15.75" x14ac:dyDescent="0.25">
      <c r="A92"/>
      <c r="B92"/>
      <c r="C92"/>
      <c r="D92" s="15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ht="15.75" x14ac:dyDescent="0.25">
      <c r="A93"/>
      <c r="B93"/>
      <c r="C93"/>
      <c r="D93" s="15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spans="1:20" ht="15.75" x14ac:dyDescent="0.25">
      <c r="A94"/>
      <c r="B94"/>
      <c r="C94"/>
      <c r="D94" s="15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spans="1:20" ht="15.75" x14ac:dyDescent="0.25">
      <c r="A95"/>
      <c r="B95"/>
      <c r="C95"/>
      <c r="D95" s="1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spans="1:20" ht="15.75" x14ac:dyDescent="0.25">
      <c r="A96"/>
      <c r="B96"/>
      <c r="C96"/>
      <c r="D96" s="15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spans="1:20" ht="15.75" x14ac:dyDescent="0.25">
      <c r="A97"/>
      <c r="B97"/>
      <c r="C97"/>
      <c r="D97" s="15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1:20" ht="15.75" x14ac:dyDescent="0.25">
      <c r="A98"/>
      <c r="B98"/>
      <c r="C98"/>
      <c r="D98" s="15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spans="1:20" ht="15.75" x14ac:dyDescent="0.25">
      <c r="A99"/>
      <c r="B99"/>
      <c r="C99"/>
      <c r="D99" s="15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spans="1:20" ht="15.75" x14ac:dyDescent="0.25">
      <c r="A100"/>
      <c r="B100"/>
      <c r="C100"/>
      <c r="D100" s="15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1:20" ht="15.75" x14ac:dyDescent="0.25">
      <c r="A101"/>
      <c r="B101"/>
      <c r="C101"/>
      <c r="D101" s="15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spans="1:20" ht="15.75" x14ac:dyDescent="0.25">
      <c r="A102"/>
      <c r="B102"/>
      <c r="C102"/>
      <c r="D102" s="15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ht="15.75" x14ac:dyDescent="0.25">
      <c r="A103"/>
      <c r="B103"/>
      <c r="C103"/>
      <c r="D103" s="15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ht="15.75" x14ac:dyDescent="0.25">
      <c r="A104"/>
      <c r="B104"/>
      <c r="C104"/>
      <c r="D104" s="15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ht="15.75" x14ac:dyDescent="0.25">
      <c r="A105"/>
      <c r="B105"/>
      <c r="C105"/>
      <c r="D105" s="1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ht="15.75" x14ac:dyDescent="0.25">
      <c r="A106"/>
      <c r="B106"/>
      <c r="C106"/>
      <c r="D106" s="15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ht="15.75" x14ac:dyDescent="0.25">
      <c r="A107"/>
      <c r="B107"/>
      <c r="C107"/>
      <c r="D107" s="15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ht="15.75" x14ac:dyDescent="0.25">
      <c r="A108"/>
      <c r="B108"/>
      <c r="C108"/>
      <c r="D108" s="15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ht="15.75" x14ac:dyDescent="0.25">
      <c r="A109"/>
      <c r="B109"/>
      <c r="C109"/>
      <c r="D109" s="15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ht="15.75" x14ac:dyDescent="0.25">
      <c r="A110"/>
      <c r="B110"/>
      <c r="C110"/>
      <c r="D110" s="15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ht="15.75" x14ac:dyDescent="0.25">
      <c r="A111"/>
      <c r="B111"/>
      <c r="C111"/>
      <c r="D111" s="15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ht="15.75" x14ac:dyDescent="0.25">
      <c r="A112"/>
      <c r="B112"/>
      <c r="C112"/>
      <c r="D112" s="15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1:20" ht="15.75" x14ac:dyDescent="0.25">
      <c r="A113"/>
      <c r="B113"/>
      <c r="C113"/>
      <c r="D113" s="15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1:20" ht="15.75" x14ac:dyDescent="0.25">
      <c r="A114"/>
      <c r="B114"/>
      <c r="C114"/>
      <c r="D114" s="15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1:20" ht="15.75" x14ac:dyDescent="0.25">
      <c r="A115"/>
      <c r="B115"/>
      <c r="C115"/>
      <c r="D115" s="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1:20" ht="15.75" x14ac:dyDescent="0.25">
      <c r="A116"/>
      <c r="B116"/>
      <c r="C116"/>
      <c r="D116" s="15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1:20" ht="15.75" x14ac:dyDescent="0.25">
      <c r="A117"/>
      <c r="B117"/>
      <c r="C117"/>
      <c r="D117" s="15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1:20" ht="15.75" x14ac:dyDescent="0.25">
      <c r="A118"/>
      <c r="B118"/>
      <c r="C118"/>
      <c r="D118" s="15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1:20" ht="15.75" x14ac:dyDescent="0.25">
      <c r="A119"/>
      <c r="B119"/>
      <c r="C119"/>
      <c r="D119" s="15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1:20" ht="15.75" x14ac:dyDescent="0.25">
      <c r="A120"/>
      <c r="B120"/>
      <c r="C120"/>
      <c r="D120" s="15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1:20" ht="15.75" x14ac:dyDescent="0.25">
      <c r="A121"/>
      <c r="B121"/>
      <c r="C121"/>
      <c r="D121" s="15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1:20" ht="15.75" x14ac:dyDescent="0.25">
      <c r="A122"/>
      <c r="B122"/>
      <c r="C122"/>
      <c r="D122" s="15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1:20" ht="15.75" x14ac:dyDescent="0.25">
      <c r="A123"/>
      <c r="B123"/>
      <c r="C123"/>
      <c r="D123" s="15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1:20" ht="15.75" x14ac:dyDescent="0.25">
      <c r="A124"/>
      <c r="B124"/>
      <c r="C124"/>
      <c r="D124" s="15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1:20" ht="15.75" x14ac:dyDescent="0.25">
      <c r="A125"/>
      <c r="B125"/>
      <c r="C125"/>
      <c r="D125" s="1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1:20" ht="15.75" x14ac:dyDescent="0.25">
      <c r="A126"/>
      <c r="B126"/>
      <c r="C126"/>
      <c r="D126" s="15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1:20" ht="15.75" x14ac:dyDescent="0.25">
      <c r="A127"/>
      <c r="B127"/>
      <c r="C127"/>
      <c r="D127" s="15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1:20" ht="15.75" x14ac:dyDescent="0.25">
      <c r="A128"/>
      <c r="B128"/>
      <c r="C128"/>
      <c r="D128" s="15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1:20" ht="15.75" x14ac:dyDescent="0.25">
      <c r="A129"/>
      <c r="B129"/>
      <c r="C129"/>
      <c r="D129" s="15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1:20" ht="15.75" x14ac:dyDescent="0.25">
      <c r="A130"/>
      <c r="B130"/>
      <c r="C130"/>
      <c r="D130" s="15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1:20" ht="15.75" x14ac:dyDescent="0.25">
      <c r="A131"/>
      <c r="B131"/>
      <c r="C131"/>
      <c r="D131" s="15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1:20" ht="15.75" x14ac:dyDescent="0.25">
      <c r="A132"/>
      <c r="B132"/>
      <c r="C132"/>
      <c r="D132" s="15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1:20" ht="15.75" x14ac:dyDescent="0.25">
      <c r="A133"/>
      <c r="B133"/>
      <c r="C133"/>
      <c r="D133" s="15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1:20" ht="15.75" x14ac:dyDescent="0.25">
      <c r="A134"/>
      <c r="B134"/>
      <c r="C134"/>
      <c r="D134" s="15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1:20" ht="15.75" x14ac:dyDescent="0.25">
      <c r="A135"/>
      <c r="B135"/>
      <c r="C135"/>
      <c r="D135" s="1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1:20" ht="15.75" x14ac:dyDescent="0.25">
      <c r="A136"/>
      <c r="B136"/>
      <c r="C136"/>
      <c r="D136" s="15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ht="15.75" x14ac:dyDescent="0.25">
      <c r="A137"/>
      <c r="B137"/>
      <c r="C137"/>
      <c r="D137" s="15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1:20" ht="15.75" x14ac:dyDescent="0.25">
      <c r="A138"/>
      <c r="B138"/>
      <c r="C138"/>
      <c r="D138" s="15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ht="15.75" x14ac:dyDescent="0.25">
      <c r="A139"/>
      <c r="B139"/>
      <c r="C139"/>
      <c r="D139" s="15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0" ht="15.75" x14ac:dyDescent="0.25">
      <c r="A140"/>
      <c r="B140"/>
      <c r="C140"/>
      <c r="D140" s="15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ht="15.75" x14ac:dyDescent="0.25">
      <c r="A141"/>
      <c r="B141"/>
      <c r="C141"/>
      <c r="D141" s="15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1:20" ht="15.75" x14ac:dyDescent="0.25">
      <c r="A142"/>
      <c r="B142"/>
      <c r="C142"/>
      <c r="D142" s="15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1:20" ht="15.75" x14ac:dyDescent="0.25">
      <c r="A143"/>
      <c r="B143"/>
      <c r="C143"/>
      <c r="D143" s="15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1:20" ht="15.75" x14ac:dyDescent="0.25">
      <c r="A144"/>
      <c r="B144"/>
      <c r="C144"/>
      <c r="D144" s="15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1:20" ht="15.75" x14ac:dyDescent="0.25">
      <c r="A145"/>
      <c r="B145"/>
      <c r="C145"/>
      <c r="D145" s="1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1:20" ht="15.75" x14ac:dyDescent="0.25">
      <c r="A146"/>
      <c r="B146"/>
      <c r="C146"/>
      <c r="D146" s="15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1:20" ht="15.75" x14ac:dyDescent="0.25">
      <c r="A147"/>
      <c r="B147"/>
      <c r="C147"/>
      <c r="D147" s="15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spans="1:20" ht="15.75" x14ac:dyDescent="0.25">
      <c r="A148"/>
      <c r="B148"/>
      <c r="C148"/>
      <c r="D148" s="15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1:20" ht="15.75" x14ac:dyDescent="0.25">
      <c r="A149"/>
      <c r="B149"/>
      <c r="C149"/>
      <c r="D149" s="15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1:20" ht="15.75" x14ac:dyDescent="0.25">
      <c r="A150"/>
      <c r="B150"/>
      <c r="C150"/>
      <c r="D150" s="15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1:20" ht="15.75" x14ac:dyDescent="0.25">
      <c r="A151"/>
      <c r="B151"/>
      <c r="C151"/>
      <c r="D151" s="15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1:20" ht="15.75" x14ac:dyDescent="0.25">
      <c r="A152"/>
      <c r="B152"/>
      <c r="C152"/>
      <c r="D152" s="15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1:20" ht="15.75" x14ac:dyDescent="0.25">
      <c r="A153"/>
      <c r="B153"/>
      <c r="C153"/>
      <c r="D153" s="15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1:20" ht="15.75" x14ac:dyDescent="0.25">
      <c r="A154"/>
      <c r="B154"/>
      <c r="C154"/>
      <c r="D154" s="15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0" ht="15.75" x14ac:dyDescent="0.25">
      <c r="A155"/>
      <c r="B155"/>
      <c r="C155"/>
      <c r="D155" s="1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20" ht="15.75" x14ac:dyDescent="0.25">
      <c r="A156"/>
      <c r="B156"/>
      <c r="C156"/>
      <c r="D156" s="15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0" ht="15.75" x14ac:dyDescent="0.25">
      <c r="A157"/>
      <c r="B157"/>
      <c r="C157"/>
      <c r="D157" s="15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1:20" ht="15.75" x14ac:dyDescent="0.25">
      <c r="A158"/>
      <c r="B158"/>
      <c r="C158"/>
      <c r="D158" s="15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0" ht="15.75" x14ac:dyDescent="0.25">
      <c r="A159"/>
      <c r="B159"/>
      <c r="C159"/>
      <c r="D159" s="15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20" ht="15.75" x14ac:dyDescent="0.25">
      <c r="A160"/>
      <c r="B160"/>
      <c r="C160"/>
      <c r="D160" s="15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ht="15.75" x14ac:dyDescent="0.25">
      <c r="A161"/>
      <c r="B161"/>
      <c r="C161"/>
      <c r="D161" s="15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ht="15.75" x14ac:dyDescent="0.25">
      <c r="A162"/>
      <c r="B162"/>
      <c r="C162"/>
      <c r="D162" s="15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ht="15.75" x14ac:dyDescent="0.25">
      <c r="A163"/>
      <c r="B163"/>
      <c r="C163"/>
      <c r="D163" s="15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ht="15.75" x14ac:dyDescent="0.25">
      <c r="A164"/>
      <c r="B164"/>
      <c r="C164"/>
      <c r="D164" s="15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ht="15.75" x14ac:dyDescent="0.25">
      <c r="A165"/>
      <c r="B165"/>
      <c r="C165"/>
      <c r="D165" s="1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ht="15.75" x14ac:dyDescent="0.25">
      <c r="A166"/>
      <c r="B166"/>
      <c r="C166"/>
      <c r="D166" s="15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ht="15.75" x14ac:dyDescent="0.25">
      <c r="A167"/>
      <c r="B167"/>
      <c r="C167"/>
      <c r="D167" s="15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ht="15.75" x14ac:dyDescent="0.25">
      <c r="A168"/>
      <c r="B168"/>
      <c r="C168"/>
      <c r="D168" s="15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ht="15.75" x14ac:dyDescent="0.25">
      <c r="A169"/>
      <c r="B169"/>
      <c r="C169"/>
      <c r="D169" s="15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ht="15.75" x14ac:dyDescent="0.25">
      <c r="A170"/>
      <c r="B170"/>
      <c r="C170"/>
      <c r="D170" s="15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ht="15.75" x14ac:dyDescent="0.25">
      <c r="A171"/>
      <c r="B171"/>
      <c r="C171"/>
      <c r="D171" s="15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ht="15.75" x14ac:dyDescent="0.25">
      <c r="A172"/>
      <c r="B172"/>
      <c r="C172"/>
      <c r="D172" s="15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ht="15.75" x14ac:dyDescent="0.25">
      <c r="A173"/>
      <c r="B173"/>
      <c r="C173"/>
      <c r="D173" s="15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ht="15.75" x14ac:dyDescent="0.25">
      <c r="A174"/>
      <c r="B174"/>
      <c r="C174"/>
      <c r="D174" s="15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ht="15.75" x14ac:dyDescent="0.25">
      <c r="A175"/>
      <c r="B175"/>
      <c r="C175"/>
      <c r="D175" s="1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ht="15.75" x14ac:dyDescent="0.25">
      <c r="A176"/>
      <c r="B176"/>
      <c r="C176"/>
      <c r="D176" s="15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ht="15.75" x14ac:dyDescent="0.25">
      <c r="A177"/>
      <c r="B177"/>
      <c r="C177"/>
      <c r="D177" s="15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ht="15.75" x14ac:dyDescent="0.25">
      <c r="A178"/>
      <c r="B178"/>
      <c r="C178"/>
      <c r="D178" s="15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ht="15.75" x14ac:dyDescent="0.25">
      <c r="A179"/>
      <c r="B179"/>
      <c r="C179"/>
      <c r="D179" s="15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ht="15.75" x14ac:dyDescent="0.25">
      <c r="A180"/>
      <c r="B180"/>
      <c r="C180"/>
      <c r="D180" s="15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ht="15.75" x14ac:dyDescent="0.25">
      <c r="A181"/>
      <c r="B181"/>
      <c r="C181"/>
      <c r="D181" s="15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ht="15.75" x14ac:dyDescent="0.25">
      <c r="A182"/>
      <c r="B182"/>
      <c r="C182"/>
      <c r="D182" s="15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ht="15.75" x14ac:dyDescent="0.25">
      <c r="A183"/>
      <c r="B183"/>
      <c r="C183"/>
      <c r="D183" s="15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ht="15.75" x14ac:dyDescent="0.25">
      <c r="A184"/>
      <c r="B184"/>
      <c r="C184"/>
      <c r="D184" s="15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ht="15.75" x14ac:dyDescent="0.25">
      <c r="A185"/>
      <c r="B185"/>
      <c r="C185"/>
      <c r="D185" s="1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ht="15.75" x14ac:dyDescent="0.25">
      <c r="A186"/>
      <c r="B186"/>
      <c r="C186"/>
      <c r="D186" s="15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ht="15.75" x14ac:dyDescent="0.25">
      <c r="A187"/>
      <c r="B187"/>
      <c r="C187"/>
      <c r="D187" s="15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ht="15.75" x14ac:dyDescent="0.25">
      <c r="A188"/>
      <c r="B188"/>
      <c r="C188"/>
      <c r="D188" s="15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ht="15.75" x14ac:dyDescent="0.25">
      <c r="A189"/>
      <c r="B189"/>
      <c r="C189"/>
      <c r="D189" s="15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ht="15.75" x14ac:dyDescent="0.25">
      <c r="A190"/>
      <c r="B190"/>
      <c r="C190"/>
      <c r="D190" s="15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ht="15.75" x14ac:dyDescent="0.25">
      <c r="A191"/>
      <c r="B191"/>
      <c r="C191"/>
      <c r="D191" s="15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ht="15.75" x14ac:dyDescent="0.25">
      <c r="A192"/>
      <c r="B192"/>
      <c r="C192"/>
      <c r="D192" s="15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ht="15.75" x14ac:dyDescent="0.25">
      <c r="A193"/>
      <c r="B193"/>
      <c r="C193"/>
      <c r="D193" s="15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ht="15.75" x14ac:dyDescent="0.25">
      <c r="A194"/>
      <c r="B194"/>
      <c r="C194"/>
      <c r="D194" s="15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ht="15.75" x14ac:dyDescent="0.25">
      <c r="A195"/>
      <c r="B195"/>
      <c r="C195"/>
      <c r="D195" s="1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ht="15.75" x14ac:dyDescent="0.25">
      <c r="A196"/>
      <c r="B196"/>
      <c r="C196"/>
      <c r="D196" s="15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ht="15.75" x14ac:dyDescent="0.25">
      <c r="A197"/>
      <c r="B197"/>
      <c r="C197"/>
      <c r="D197" s="15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ht="15.75" x14ac:dyDescent="0.25">
      <c r="A198"/>
      <c r="B198"/>
      <c r="C198"/>
      <c r="D198" s="15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ht="15.75" x14ac:dyDescent="0.25">
      <c r="A199"/>
      <c r="B199"/>
      <c r="C199"/>
      <c r="D199" s="15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ht="15.75" x14ac:dyDescent="0.25">
      <c r="A200"/>
      <c r="B200"/>
      <c r="C200"/>
      <c r="D200" s="15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ht="15.75" x14ac:dyDescent="0.25">
      <c r="A201"/>
      <c r="B201"/>
      <c r="C201"/>
      <c r="D201" s="15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ht="15.75" x14ac:dyDescent="0.25">
      <c r="A202"/>
      <c r="B202"/>
      <c r="C202"/>
      <c r="D202" s="15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ht="15.75" x14ac:dyDescent="0.25">
      <c r="A203"/>
      <c r="B203"/>
      <c r="C203"/>
      <c r="D203" s="15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ht="15.75" x14ac:dyDescent="0.25">
      <c r="A204"/>
      <c r="B204"/>
      <c r="C204"/>
      <c r="D204" s="15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ht="15.75" x14ac:dyDescent="0.25">
      <c r="A205"/>
      <c r="B205"/>
      <c r="C205"/>
      <c r="D205" s="1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ht="15.75" x14ac:dyDescent="0.25">
      <c r="A206"/>
      <c r="B206"/>
      <c r="C206"/>
      <c r="D206" s="15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ht="15.75" x14ac:dyDescent="0.25">
      <c r="A207"/>
      <c r="B207"/>
      <c r="C207"/>
      <c r="D207" s="15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ht="15.75" x14ac:dyDescent="0.25">
      <c r="A208"/>
      <c r="B208"/>
      <c r="C208"/>
      <c r="D208" s="15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ht="15.75" x14ac:dyDescent="0.25">
      <c r="A209"/>
      <c r="B209"/>
      <c r="C209"/>
      <c r="D209" s="15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ht="15.75" x14ac:dyDescent="0.25">
      <c r="A210"/>
      <c r="B210"/>
      <c r="C210"/>
      <c r="D210" s="15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ht="15.75" x14ac:dyDescent="0.25">
      <c r="A211"/>
      <c r="B211"/>
      <c r="C211"/>
      <c r="D211" s="15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ht="15.75" x14ac:dyDescent="0.25">
      <c r="A212"/>
      <c r="B212"/>
      <c r="C212"/>
      <c r="D212" s="15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ht="15.75" x14ac:dyDescent="0.25">
      <c r="A213"/>
      <c r="B213"/>
      <c r="C213"/>
      <c r="D213" s="15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ht="15.75" x14ac:dyDescent="0.25">
      <c r="A214"/>
      <c r="B214"/>
      <c r="C214"/>
      <c r="D214" s="15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ht="15.75" x14ac:dyDescent="0.25">
      <c r="A215"/>
      <c r="B215"/>
      <c r="C215"/>
      <c r="D215" s="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ht="15.75" x14ac:dyDescent="0.25">
      <c r="A216"/>
      <c r="B216"/>
      <c r="C216"/>
      <c r="D216" s="15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ht="15.75" x14ac:dyDescent="0.25">
      <c r="A217"/>
      <c r="B217"/>
      <c r="C217"/>
      <c r="D217" s="15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ht="15.75" x14ac:dyDescent="0.25">
      <c r="A218"/>
      <c r="B218"/>
      <c r="C218"/>
      <c r="D218" s="15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ht="15.75" x14ac:dyDescent="0.25">
      <c r="A219"/>
      <c r="B219"/>
      <c r="C219"/>
      <c r="D219" s="15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ht="15.75" x14ac:dyDescent="0.25">
      <c r="A220"/>
      <c r="B220"/>
      <c r="C220"/>
      <c r="D220" s="15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ht="15.75" x14ac:dyDescent="0.25">
      <c r="A221"/>
      <c r="B221"/>
      <c r="C221"/>
      <c r="D221" s="15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ht="15.75" x14ac:dyDescent="0.25">
      <c r="A222"/>
      <c r="B222"/>
      <c r="C222"/>
      <c r="D222" s="15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ht="15.75" x14ac:dyDescent="0.25">
      <c r="A223"/>
      <c r="B223"/>
      <c r="C223"/>
      <c r="D223" s="15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ht="15.75" x14ac:dyDescent="0.25">
      <c r="A224"/>
      <c r="B224"/>
      <c r="C224"/>
      <c r="D224" s="15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ht="15.75" x14ac:dyDescent="0.25">
      <c r="A225"/>
      <c r="B225"/>
      <c r="C225"/>
      <c r="D225" s="1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ht="15.75" x14ac:dyDescent="0.25">
      <c r="A226"/>
      <c r="B226"/>
      <c r="C226"/>
      <c r="D226" s="15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ht="15.75" x14ac:dyDescent="0.25">
      <c r="A227"/>
      <c r="B227"/>
      <c r="C227"/>
      <c r="D227" s="15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ht="15.75" x14ac:dyDescent="0.25">
      <c r="A228"/>
      <c r="B228"/>
      <c r="C228"/>
      <c r="D228" s="15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ht="15.75" x14ac:dyDescent="0.25">
      <c r="A229"/>
      <c r="B229"/>
      <c r="C229"/>
      <c r="D229" s="15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ht="15.75" x14ac:dyDescent="0.25">
      <c r="A230"/>
      <c r="B230"/>
      <c r="C230"/>
      <c r="D230" s="15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ht="15.75" x14ac:dyDescent="0.25">
      <c r="A231"/>
      <c r="B231"/>
      <c r="C231"/>
      <c r="D231" s="15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ht="15.75" x14ac:dyDescent="0.25">
      <c r="A232"/>
      <c r="B232"/>
      <c r="C232"/>
      <c r="D232" s="15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ht="15.75" x14ac:dyDescent="0.25">
      <c r="A233"/>
      <c r="B233"/>
      <c r="C233"/>
      <c r="D233" s="15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ht="15.75" x14ac:dyDescent="0.25">
      <c r="A234"/>
      <c r="B234"/>
      <c r="C234"/>
      <c r="D234" s="15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ht="15.75" x14ac:dyDescent="0.25">
      <c r="A235"/>
      <c r="B235"/>
      <c r="C235"/>
      <c r="D235" s="1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ht="15.75" x14ac:dyDescent="0.25">
      <c r="A236"/>
      <c r="B236"/>
      <c r="C236"/>
      <c r="D236" s="15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ht="15.75" x14ac:dyDescent="0.25">
      <c r="A237"/>
      <c r="B237"/>
      <c r="C237"/>
      <c r="D237" s="15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ht="15.75" x14ac:dyDescent="0.25">
      <c r="A238"/>
      <c r="B238"/>
      <c r="C238"/>
      <c r="D238" s="15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ht="15.75" x14ac:dyDescent="0.25">
      <c r="A239"/>
      <c r="B239"/>
      <c r="C239"/>
      <c r="D239" s="15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ht="15.75" x14ac:dyDescent="0.25">
      <c r="A240"/>
      <c r="B240"/>
      <c r="C240"/>
      <c r="D240" s="15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ht="15.75" x14ac:dyDescent="0.25">
      <c r="A241"/>
      <c r="B241"/>
      <c r="C241"/>
      <c r="D241" s="15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ht="15.75" x14ac:dyDescent="0.25">
      <c r="A242"/>
      <c r="B242"/>
      <c r="C242"/>
      <c r="D242" s="15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ht="15.75" x14ac:dyDescent="0.25">
      <c r="A243"/>
      <c r="B243"/>
      <c r="C243"/>
      <c r="D243" s="15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ht="15.75" x14ac:dyDescent="0.25">
      <c r="A244"/>
      <c r="B244"/>
      <c r="C244"/>
      <c r="D244" s="15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ht="15.75" x14ac:dyDescent="0.25">
      <c r="A245"/>
      <c r="B245"/>
      <c r="C245"/>
      <c r="D245" s="1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ht="15.75" x14ac:dyDescent="0.25">
      <c r="A246"/>
      <c r="B246"/>
      <c r="C246"/>
      <c r="D246" s="15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ht="15.75" x14ac:dyDescent="0.25">
      <c r="A247"/>
      <c r="B247"/>
      <c r="C247"/>
      <c r="D247" s="15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ht="15.75" x14ac:dyDescent="0.25">
      <c r="A248"/>
      <c r="B248"/>
      <c r="C248"/>
      <c r="D248" s="15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ht="15.75" x14ac:dyDescent="0.25">
      <c r="A249"/>
      <c r="B249"/>
      <c r="C249"/>
      <c r="D249" s="15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ht="15.75" x14ac:dyDescent="0.25">
      <c r="A250"/>
      <c r="B250"/>
      <c r="C250"/>
      <c r="D250" s="15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ht="15.75" x14ac:dyDescent="0.25">
      <c r="A251"/>
      <c r="B251"/>
      <c r="C251"/>
      <c r="D251" s="15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ht="15.75" x14ac:dyDescent="0.25">
      <c r="A252"/>
      <c r="B252"/>
      <c r="C252"/>
      <c r="D252" s="15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1:20" ht="15.75" x14ac:dyDescent="0.25">
      <c r="A253"/>
      <c r="B253"/>
      <c r="C253"/>
      <c r="D253" s="15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1:20" ht="15.75" x14ac:dyDescent="0.25">
      <c r="A254"/>
      <c r="B254"/>
      <c r="C254"/>
      <c r="D254" s="15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1:20" ht="15.75" x14ac:dyDescent="0.25">
      <c r="A255"/>
      <c r="B255"/>
      <c r="C255"/>
      <c r="D255" s="1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1:20" ht="15.75" x14ac:dyDescent="0.25">
      <c r="A256"/>
      <c r="B256"/>
      <c r="C256"/>
      <c r="D256" s="15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1:20" ht="15.75" x14ac:dyDescent="0.25">
      <c r="A257"/>
      <c r="B257"/>
      <c r="C257"/>
      <c r="D257" s="15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1:20" ht="15.75" x14ac:dyDescent="0.25">
      <c r="A258"/>
      <c r="B258"/>
      <c r="C258"/>
      <c r="D258" s="15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1:20" ht="15.75" x14ac:dyDescent="0.25">
      <c r="A259"/>
      <c r="B259"/>
      <c r="C259"/>
      <c r="D259" s="15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1:20" ht="15.75" x14ac:dyDescent="0.25">
      <c r="A260"/>
      <c r="B260"/>
      <c r="C260"/>
      <c r="D260" s="15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1:20" ht="15.75" x14ac:dyDescent="0.25">
      <c r="A261"/>
      <c r="B261"/>
      <c r="C261"/>
      <c r="D261" s="15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1:20" ht="15.75" x14ac:dyDescent="0.25">
      <c r="A262"/>
      <c r="B262"/>
      <c r="C262"/>
      <c r="D262" s="15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1:20" ht="15.75" x14ac:dyDescent="0.25">
      <c r="A263"/>
      <c r="B263"/>
      <c r="C263"/>
      <c r="D263" s="15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1:20" ht="15.75" x14ac:dyDescent="0.25">
      <c r="A264"/>
      <c r="B264"/>
      <c r="C264"/>
      <c r="D264" s="15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1:20" ht="15.75" x14ac:dyDescent="0.25">
      <c r="A265"/>
      <c r="B265"/>
      <c r="C265"/>
      <c r="D265" s="1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1:20" ht="15.75" x14ac:dyDescent="0.25">
      <c r="A266"/>
      <c r="B266"/>
      <c r="C266"/>
      <c r="D266" s="15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1:20" ht="15.75" x14ac:dyDescent="0.25">
      <c r="A267"/>
      <c r="B267"/>
      <c r="C267"/>
      <c r="D267" s="15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1:20" ht="15.75" x14ac:dyDescent="0.25">
      <c r="A268"/>
      <c r="B268"/>
      <c r="C268"/>
      <c r="D268" s="15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1:20" ht="15.75" x14ac:dyDescent="0.25">
      <c r="A269"/>
      <c r="B269"/>
      <c r="C269"/>
      <c r="D269" s="15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1:20" ht="15.75" x14ac:dyDescent="0.25">
      <c r="A270"/>
      <c r="B270"/>
      <c r="C270"/>
      <c r="D270" s="15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1:20" ht="15.75" x14ac:dyDescent="0.25">
      <c r="A271"/>
      <c r="B271"/>
      <c r="C271"/>
      <c r="D271" s="15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1:20" ht="15.75" x14ac:dyDescent="0.25">
      <c r="A272"/>
      <c r="B272"/>
      <c r="C272"/>
      <c r="D272" s="15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1:20" ht="15.75" x14ac:dyDescent="0.25">
      <c r="A273"/>
      <c r="B273"/>
      <c r="C273"/>
      <c r="D273" s="15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1:20" ht="15.75" x14ac:dyDescent="0.25">
      <c r="A274"/>
      <c r="B274"/>
      <c r="C274"/>
      <c r="D274" s="15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1:20" ht="15.75" x14ac:dyDescent="0.25">
      <c r="A275"/>
      <c r="B275"/>
      <c r="C275"/>
      <c r="D275" s="1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1:20" ht="15.75" x14ac:dyDescent="0.25">
      <c r="A276"/>
      <c r="B276"/>
      <c r="C276"/>
      <c r="D276" s="15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1:20" ht="15.75" x14ac:dyDescent="0.25">
      <c r="A277"/>
      <c r="B277"/>
      <c r="C277"/>
      <c r="D277" s="15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1:20" ht="15.75" x14ac:dyDescent="0.25">
      <c r="A278"/>
      <c r="B278"/>
      <c r="C278"/>
      <c r="D278" s="15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1:20" ht="15.75" x14ac:dyDescent="0.25">
      <c r="A279"/>
      <c r="B279"/>
      <c r="C279"/>
      <c r="D279" s="15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1:20" ht="15.75" x14ac:dyDescent="0.25">
      <c r="A280"/>
      <c r="B280"/>
      <c r="C280"/>
      <c r="D280" s="15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1:20" ht="15.75" x14ac:dyDescent="0.25">
      <c r="A281"/>
      <c r="B281"/>
      <c r="C281"/>
      <c r="D281" s="15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1:20" ht="15.75" x14ac:dyDescent="0.25">
      <c r="A282"/>
      <c r="B282"/>
      <c r="C282"/>
      <c r="D282" s="15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1:20" ht="15.75" x14ac:dyDescent="0.25">
      <c r="A283"/>
      <c r="B283"/>
      <c r="C283"/>
      <c r="D283" s="15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1:20" ht="15.75" x14ac:dyDescent="0.25">
      <c r="A284"/>
      <c r="B284"/>
      <c r="C284"/>
      <c r="D284" s="15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1:20" ht="15.75" x14ac:dyDescent="0.25">
      <c r="A285"/>
      <c r="B285"/>
      <c r="C285"/>
      <c r="D285" s="1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1:20" ht="15.75" x14ac:dyDescent="0.25">
      <c r="A286"/>
      <c r="B286"/>
      <c r="C286"/>
      <c r="D286" s="15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1:20" ht="15.75" x14ac:dyDescent="0.25">
      <c r="A287"/>
      <c r="B287"/>
      <c r="C287"/>
      <c r="D287" s="15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1:20" ht="15.75" x14ac:dyDescent="0.25">
      <c r="A288"/>
      <c r="B288"/>
      <c r="C288"/>
      <c r="D288" s="15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 spans="1:20" ht="15.75" x14ac:dyDescent="0.25">
      <c r="A289"/>
      <c r="B289"/>
      <c r="C289"/>
      <c r="D289" s="15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1:20" ht="15.75" x14ac:dyDescent="0.25">
      <c r="A290"/>
      <c r="B290"/>
      <c r="C290"/>
      <c r="D290" s="15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1:20" ht="15.75" x14ac:dyDescent="0.25">
      <c r="A291"/>
      <c r="B291"/>
      <c r="C291"/>
      <c r="D291" s="15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1:20" ht="15.75" x14ac:dyDescent="0.25">
      <c r="A292"/>
      <c r="B292"/>
      <c r="C292"/>
      <c r="D292" s="15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1:20" ht="15.75" x14ac:dyDescent="0.25">
      <c r="A293"/>
      <c r="B293"/>
      <c r="C293"/>
      <c r="D293" s="15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1:20" ht="15.75" x14ac:dyDescent="0.25">
      <c r="A294"/>
      <c r="B294"/>
      <c r="C294"/>
      <c r="D294" s="15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1:20" ht="15.75" x14ac:dyDescent="0.25">
      <c r="A295"/>
      <c r="B295"/>
      <c r="C295"/>
      <c r="D295" s="1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1:20" ht="15.75" x14ac:dyDescent="0.25">
      <c r="A296"/>
      <c r="B296"/>
      <c r="C296"/>
      <c r="D296" s="15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1:20" ht="15.75" x14ac:dyDescent="0.25">
      <c r="A297"/>
      <c r="B297"/>
      <c r="C297"/>
      <c r="D297" s="15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1:20" ht="15.75" x14ac:dyDescent="0.25">
      <c r="A298"/>
      <c r="B298"/>
      <c r="C298"/>
      <c r="D298" s="15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1:20" ht="15.75" x14ac:dyDescent="0.25">
      <c r="A299"/>
      <c r="B299"/>
      <c r="C299"/>
      <c r="D299" s="15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1:20" ht="15.75" x14ac:dyDescent="0.25">
      <c r="A300"/>
      <c r="B300"/>
      <c r="C300"/>
      <c r="D300" s="15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1:20" ht="15.75" x14ac:dyDescent="0.25">
      <c r="A301"/>
      <c r="B301"/>
      <c r="C301"/>
      <c r="D301" s="15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1:20" ht="15.75" x14ac:dyDescent="0.25">
      <c r="A302"/>
      <c r="B302"/>
      <c r="C302"/>
      <c r="D302" s="15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1:20" ht="15.75" x14ac:dyDescent="0.25">
      <c r="A303"/>
      <c r="B303"/>
      <c r="C303"/>
      <c r="D303" s="15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1:20" ht="15.75" x14ac:dyDescent="0.25">
      <c r="A304"/>
      <c r="B304"/>
      <c r="C304"/>
      <c r="D304" s="15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1:20" ht="15.75" x14ac:dyDescent="0.25">
      <c r="A305"/>
      <c r="B305"/>
      <c r="C305"/>
      <c r="D305" s="1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1:20" ht="15.75" x14ac:dyDescent="0.25">
      <c r="A306"/>
      <c r="B306"/>
      <c r="C306"/>
      <c r="D306" s="15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 spans="1:20" ht="15.75" x14ac:dyDescent="0.25">
      <c r="A307"/>
      <c r="B307"/>
      <c r="C307"/>
      <c r="D307" s="15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 spans="1:20" ht="15.75" x14ac:dyDescent="0.25">
      <c r="A308"/>
      <c r="B308"/>
      <c r="C308"/>
      <c r="D308" s="15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 spans="1:20" ht="15.75" x14ac:dyDescent="0.25">
      <c r="A309"/>
      <c r="B309"/>
      <c r="C309"/>
      <c r="D309" s="15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 spans="1:20" ht="15.75" x14ac:dyDescent="0.25">
      <c r="A310"/>
      <c r="B310"/>
      <c r="C310"/>
      <c r="D310" s="15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 spans="1:20" ht="15.75" x14ac:dyDescent="0.25">
      <c r="A311"/>
      <c r="B311"/>
      <c r="C311"/>
      <c r="D311" s="15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 spans="1:20" ht="15.75" x14ac:dyDescent="0.25">
      <c r="A312"/>
      <c r="B312"/>
      <c r="C312"/>
      <c r="D312" s="15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 spans="1:20" ht="15.75" x14ac:dyDescent="0.25">
      <c r="A313"/>
      <c r="B313"/>
      <c r="C313"/>
      <c r="D313" s="15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 spans="1:20" ht="15.75" x14ac:dyDescent="0.25">
      <c r="A314"/>
      <c r="B314"/>
      <c r="C314"/>
      <c r="D314" s="15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 spans="1:20" ht="15.75" x14ac:dyDescent="0.25">
      <c r="A315"/>
      <c r="B315"/>
      <c r="C315"/>
      <c r="D315" s="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 spans="1:20" ht="15.75" x14ac:dyDescent="0.25">
      <c r="A316"/>
      <c r="B316"/>
      <c r="C316"/>
      <c r="D316" s="15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 spans="1:20" ht="15.75" x14ac:dyDescent="0.25">
      <c r="A317"/>
      <c r="B317"/>
      <c r="C317"/>
      <c r="D317" s="15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 spans="1:20" ht="15.75" x14ac:dyDescent="0.25">
      <c r="A318"/>
      <c r="B318"/>
      <c r="C318"/>
      <c r="D318" s="15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 spans="1:20" ht="15.75" x14ac:dyDescent="0.25">
      <c r="A319"/>
      <c r="B319"/>
      <c r="C319"/>
      <c r="D319" s="15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 spans="1:20" ht="15.75" x14ac:dyDescent="0.25">
      <c r="A320"/>
      <c r="B320"/>
      <c r="C320"/>
      <c r="D320" s="15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 spans="1:20" ht="15.75" x14ac:dyDescent="0.25">
      <c r="A321"/>
      <c r="B321"/>
      <c r="C321"/>
      <c r="D321" s="15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 spans="1:20" ht="15.75" x14ac:dyDescent="0.25">
      <c r="A322"/>
      <c r="B322"/>
      <c r="C322"/>
      <c r="D322" s="15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 spans="1:20" ht="15.75" x14ac:dyDescent="0.25">
      <c r="A323"/>
      <c r="B323"/>
      <c r="C323"/>
      <c r="D323" s="15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 spans="1:20" ht="15.75" x14ac:dyDescent="0.25">
      <c r="A324"/>
      <c r="B324"/>
      <c r="C324"/>
      <c r="D324" s="15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1:20" ht="15.75" x14ac:dyDescent="0.25">
      <c r="A325"/>
      <c r="B325"/>
      <c r="C325"/>
      <c r="D325" s="1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 spans="1:20" ht="15.75" x14ac:dyDescent="0.25">
      <c r="A326"/>
      <c r="B326"/>
      <c r="C326"/>
      <c r="D326" s="15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 spans="1:20" ht="15.75" x14ac:dyDescent="0.25">
      <c r="A327"/>
      <c r="B327"/>
      <c r="C327"/>
      <c r="D327" s="15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 spans="1:20" ht="15.75" x14ac:dyDescent="0.25">
      <c r="A328"/>
      <c r="B328"/>
      <c r="C328"/>
      <c r="D328" s="15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 spans="1:20" ht="15.75" x14ac:dyDescent="0.25">
      <c r="A329"/>
      <c r="B329"/>
      <c r="C329"/>
      <c r="D329" s="15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 spans="1:20" ht="15.75" x14ac:dyDescent="0.25">
      <c r="A330"/>
      <c r="B330"/>
      <c r="C330"/>
      <c r="D330" s="15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 spans="1:20" ht="15.75" x14ac:dyDescent="0.25">
      <c r="A331"/>
      <c r="B331"/>
      <c r="C331"/>
      <c r="D331" s="15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 spans="1:20" ht="15.75" x14ac:dyDescent="0.25">
      <c r="A332"/>
      <c r="B332"/>
      <c r="C332"/>
      <c r="D332" s="15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 spans="1:20" ht="15.75" x14ac:dyDescent="0.25">
      <c r="A333"/>
      <c r="B333"/>
      <c r="C333"/>
      <c r="D333" s="15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 spans="1:20" ht="15.75" x14ac:dyDescent="0.25">
      <c r="A334"/>
      <c r="B334"/>
      <c r="C334"/>
      <c r="D334" s="15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 spans="1:20" ht="15.75" x14ac:dyDescent="0.25">
      <c r="A335"/>
      <c r="B335"/>
      <c r="C335"/>
      <c r="D335" s="1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 spans="1:20" ht="15.75" x14ac:dyDescent="0.25">
      <c r="A336"/>
      <c r="B336"/>
      <c r="C336"/>
      <c r="D336" s="15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 spans="1:20" ht="15.75" x14ac:dyDescent="0.25">
      <c r="A337"/>
      <c r="B337"/>
      <c r="C337"/>
      <c r="D337" s="15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 spans="1:20" ht="15.75" x14ac:dyDescent="0.25">
      <c r="A338"/>
      <c r="B338"/>
      <c r="C338"/>
      <c r="D338" s="15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1:20" ht="15.75" x14ac:dyDescent="0.25">
      <c r="A339"/>
      <c r="B339"/>
      <c r="C339"/>
      <c r="D339" s="15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1:20" ht="15.75" x14ac:dyDescent="0.25">
      <c r="A340"/>
      <c r="B340"/>
      <c r="C340"/>
      <c r="D340" s="15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1:20" ht="15.75" x14ac:dyDescent="0.25">
      <c r="A341"/>
      <c r="B341"/>
      <c r="C341"/>
      <c r="D341" s="15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1:20" ht="15.75" x14ac:dyDescent="0.25">
      <c r="A342"/>
      <c r="B342"/>
      <c r="C342"/>
      <c r="D342" s="15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1:20" ht="15.75" x14ac:dyDescent="0.25">
      <c r="A343"/>
      <c r="B343"/>
      <c r="C343"/>
      <c r="D343" s="15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 spans="1:20" ht="15.75" x14ac:dyDescent="0.25">
      <c r="A344"/>
      <c r="B344"/>
      <c r="C344"/>
      <c r="D344" s="15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1:20" ht="15.75" x14ac:dyDescent="0.25">
      <c r="A345"/>
      <c r="B345"/>
      <c r="C345"/>
      <c r="D345" s="1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1:20" ht="15.75" x14ac:dyDescent="0.25">
      <c r="A346"/>
      <c r="B346"/>
      <c r="C346"/>
      <c r="D346" s="15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1:20" ht="15.75" x14ac:dyDescent="0.25">
      <c r="A347"/>
      <c r="B347"/>
      <c r="C347"/>
      <c r="D347" s="15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1:20" ht="15.75" x14ac:dyDescent="0.25">
      <c r="A348"/>
      <c r="B348"/>
      <c r="C348"/>
      <c r="D348" s="15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1:20" ht="15.75" x14ac:dyDescent="0.25">
      <c r="A349"/>
      <c r="B349"/>
      <c r="C349"/>
      <c r="D349" s="15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1:20" ht="15.75" x14ac:dyDescent="0.25">
      <c r="A350"/>
      <c r="B350"/>
      <c r="C350"/>
      <c r="D350" s="15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1:20" ht="15.75" x14ac:dyDescent="0.25">
      <c r="A351"/>
      <c r="B351"/>
      <c r="C351"/>
      <c r="D351" s="15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1:20" ht="15.75" x14ac:dyDescent="0.25">
      <c r="A352"/>
      <c r="B352"/>
      <c r="C352"/>
      <c r="D352" s="15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1:20" ht="15.75" x14ac:dyDescent="0.25">
      <c r="A353"/>
      <c r="B353"/>
      <c r="C353"/>
      <c r="D353" s="15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1:20" ht="15.75" x14ac:dyDescent="0.25">
      <c r="A354"/>
      <c r="B354"/>
      <c r="C354"/>
      <c r="D354" s="15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1:20" ht="15.75" x14ac:dyDescent="0.25">
      <c r="A355"/>
      <c r="B355"/>
      <c r="C355"/>
      <c r="D355" s="1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1:20" ht="15.75" x14ac:dyDescent="0.25">
      <c r="A356"/>
      <c r="B356"/>
      <c r="C356"/>
      <c r="D356" s="15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1:20" ht="15.75" x14ac:dyDescent="0.25">
      <c r="A357"/>
      <c r="B357"/>
      <c r="C357"/>
      <c r="D357" s="15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1:20" ht="15.75" x14ac:dyDescent="0.25">
      <c r="A358"/>
      <c r="B358"/>
      <c r="C358"/>
      <c r="D358" s="15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1:20" ht="15.75" x14ac:dyDescent="0.25">
      <c r="A359"/>
      <c r="B359"/>
      <c r="C359"/>
      <c r="D359" s="15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1:20" ht="15.75" x14ac:dyDescent="0.25">
      <c r="A360"/>
      <c r="B360"/>
      <c r="C360"/>
      <c r="D360" s="15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1:20" ht="15.75" x14ac:dyDescent="0.25">
      <c r="A361"/>
      <c r="B361"/>
      <c r="C361"/>
      <c r="D361" s="15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1:20" ht="15.75" x14ac:dyDescent="0.25">
      <c r="A362"/>
      <c r="B362"/>
      <c r="C362"/>
      <c r="D362" s="15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1:20" ht="15.75" x14ac:dyDescent="0.25">
      <c r="A363"/>
      <c r="B363"/>
      <c r="C363"/>
      <c r="D363" s="15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1:20" ht="15.75" x14ac:dyDescent="0.25">
      <c r="A364"/>
      <c r="B364"/>
      <c r="C364"/>
      <c r="D364" s="15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1:20" ht="15.75" x14ac:dyDescent="0.25">
      <c r="A365"/>
      <c r="B365"/>
      <c r="C365"/>
      <c r="D365" s="1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1:20" ht="15.75" x14ac:dyDescent="0.25">
      <c r="A366"/>
      <c r="B366"/>
      <c r="C366"/>
      <c r="D366" s="15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1:20" ht="15.75" x14ac:dyDescent="0.25">
      <c r="A367"/>
      <c r="B367"/>
      <c r="C367"/>
      <c r="D367" s="15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1:20" ht="15.75" x14ac:dyDescent="0.25">
      <c r="A368"/>
      <c r="B368"/>
      <c r="C368"/>
      <c r="D368" s="15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1:20" ht="15.75" x14ac:dyDescent="0.25">
      <c r="A369"/>
      <c r="B369"/>
      <c r="C369"/>
      <c r="D369" s="15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1:20" ht="15.75" x14ac:dyDescent="0.25">
      <c r="A370"/>
      <c r="B370"/>
      <c r="C370"/>
      <c r="D370" s="15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1:20" ht="15.75" x14ac:dyDescent="0.25">
      <c r="A371"/>
      <c r="B371"/>
      <c r="C371"/>
      <c r="D371" s="15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1:20" ht="15.75" x14ac:dyDescent="0.25">
      <c r="A372"/>
      <c r="B372"/>
      <c r="C372"/>
      <c r="D372" s="15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1:20" ht="15.75" x14ac:dyDescent="0.25">
      <c r="A373"/>
      <c r="B373"/>
      <c r="C373"/>
      <c r="D373" s="15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1:20" ht="15.75" x14ac:dyDescent="0.25">
      <c r="A374"/>
      <c r="B374"/>
      <c r="C374"/>
      <c r="D374" s="15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1:20" ht="15.75" x14ac:dyDescent="0.25">
      <c r="A375"/>
      <c r="B375"/>
      <c r="C375"/>
      <c r="D375" s="1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1:20" ht="15.75" x14ac:dyDescent="0.25">
      <c r="A376"/>
      <c r="B376"/>
      <c r="C376"/>
      <c r="D376" s="15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1:20" ht="15.75" x14ac:dyDescent="0.25">
      <c r="A377"/>
      <c r="B377"/>
      <c r="C377"/>
      <c r="D377" s="15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1:20" ht="15.75" x14ac:dyDescent="0.25">
      <c r="A378"/>
      <c r="B378"/>
      <c r="C378"/>
      <c r="D378" s="15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1:20" ht="15.75" x14ac:dyDescent="0.25">
      <c r="A379"/>
      <c r="B379"/>
      <c r="C379"/>
      <c r="D379" s="15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1:20" ht="15.75" x14ac:dyDescent="0.25">
      <c r="A380"/>
      <c r="B380"/>
      <c r="C380"/>
      <c r="D380" s="15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1:20" ht="15.75" x14ac:dyDescent="0.25">
      <c r="A381"/>
      <c r="B381"/>
      <c r="C381"/>
      <c r="D381" s="15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1:20" ht="15.75" x14ac:dyDescent="0.25">
      <c r="A382"/>
      <c r="B382"/>
      <c r="C382"/>
      <c r="D382" s="15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1:20" ht="15.75" x14ac:dyDescent="0.25">
      <c r="A383"/>
      <c r="B383"/>
      <c r="C383"/>
      <c r="D383" s="15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1:20" ht="15.75" x14ac:dyDescent="0.25">
      <c r="A384"/>
      <c r="B384"/>
      <c r="C384"/>
      <c r="D384" s="15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1:20" ht="15.75" x14ac:dyDescent="0.25">
      <c r="A385"/>
      <c r="B385"/>
      <c r="C385"/>
      <c r="D385" s="1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1:20" ht="15.75" x14ac:dyDescent="0.25">
      <c r="A386"/>
      <c r="B386"/>
      <c r="C386"/>
      <c r="D386" s="15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1:20" ht="15.75" x14ac:dyDescent="0.25">
      <c r="A387"/>
      <c r="B387"/>
      <c r="C387"/>
      <c r="D387" s="15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1:20" ht="15.75" x14ac:dyDescent="0.25">
      <c r="A388"/>
      <c r="B388"/>
      <c r="C388"/>
      <c r="D388" s="15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1:20" ht="15.75" x14ac:dyDescent="0.25">
      <c r="A389"/>
      <c r="B389"/>
      <c r="C389"/>
      <c r="D389" s="15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1:20" ht="15.75" x14ac:dyDescent="0.25">
      <c r="A390"/>
      <c r="B390"/>
      <c r="C390"/>
      <c r="D390" s="15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1:20" ht="15.75" x14ac:dyDescent="0.25">
      <c r="A391"/>
      <c r="B391"/>
      <c r="C391"/>
      <c r="D391" s="15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1:20" ht="15.75" x14ac:dyDescent="0.25">
      <c r="A392"/>
      <c r="B392"/>
      <c r="C392"/>
      <c r="D392" s="15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1:20" ht="15.75" x14ac:dyDescent="0.25">
      <c r="A393"/>
      <c r="B393"/>
      <c r="C393"/>
      <c r="D393" s="15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1:20" ht="15.75" x14ac:dyDescent="0.25">
      <c r="A394"/>
      <c r="B394"/>
      <c r="C394"/>
      <c r="D394" s="15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1:20" ht="15.75" x14ac:dyDescent="0.25">
      <c r="A395"/>
      <c r="B395"/>
      <c r="C395"/>
      <c r="D395" s="1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1:20" ht="15.75" x14ac:dyDescent="0.25">
      <c r="A396"/>
      <c r="B396"/>
      <c r="C396"/>
      <c r="D396" s="15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1:20" ht="15.75" x14ac:dyDescent="0.25">
      <c r="A397"/>
      <c r="B397"/>
      <c r="C397"/>
      <c r="D397" s="15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1:20" ht="15.75" x14ac:dyDescent="0.25">
      <c r="A398"/>
      <c r="B398"/>
      <c r="C398"/>
      <c r="D398" s="15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1:20" ht="15.75" x14ac:dyDescent="0.25">
      <c r="A399"/>
      <c r="B399"/>
      <c r="C399"/>
      <c r="D399" s="15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1:20" ht="15.75" x14ac:dyDescent="0.25">
      <c r="A400"/>
      <c r="B400"/>
      <c r="C400"/>
      <c r="D400" s="15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1:20" ht="15.75" x14ac:dyDescent="0.25">
      <c r="A401"/>
      <c r="B401"/>
      <c r="C401"/>
      <c r="D401" s="15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1:20" ht="15.75" x14ac:dyDescent="0.25">
      <c r="A402"/>
      <c r="B402"/>
      <c r="C402"/>
      <c r="D402" s="15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1:20" ht="15.75" x14ac:dyDescent="0.25">
      <c r="A403"/>
      <c r="B403"/>
      <c r="C403"/>
      <c r="D403" s="15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1:20" ht="15.75" x14ac:dyDescent="0.25">
      <c r="A404"/>
      <c r="B404"/>
      <c r="C404"/>
      <c r="D404" s="15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1:20" ht="15.75" x14ac:dyDescent="0.25">
      <c r="A405"/>
      <c r="B405"/>
      <c r="C405"/>
      <c r="D405" s="1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1:20" ht="15.75" x14ac:dyDescent="0.25">
      <c r="A406"/>
      <c r="B406"/>
      <c r="C406"/>
      <c r="D406" s="15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1:20" ht="15.75" x14ac:dyDescent="0.25">
      <c r="A407"/>
      <c r="B407"/>
      <c r="C407"/>
      <c r="D407" s="15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1:20" ht="15.75" x14ac:dyDescent="0.25">
      <c r="A408"/>
      <c r="B408"/>
      <c r="C408"/>
      <c r="D408" s="15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1:20" ht="15.75" x14ac:dyDescent="0.25">
      <c r="A409"/>
      <c r="B409"/>
      <c r="C409"/>
      <c r="D409" s="15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1:20" ht="15.75" x14ac:dyDescent="0.25">
      <c r="A410"/>
      <c r="B410"/>
      <c r="C410"/>
      <c r="D410" s="15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1:20" ht="15.75" x14ac:dyDescent="0.25">
      <c r="A411"/>
      <c r="B411"/>
      <c r="C411"/>
      <c r="D411" s="15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1:20" ht="15.75" x14ac:dyDescent="0.25">
      <c r="A412"/>
      <c r="B412"/>
      <c r="C412"/>
      <c r="D412" s="15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1:20" ht="15.75" x14ac:dyDescent="0.25">
      <c r="A413"/>
      <c r="B413"/>
      <c r="C413"/>
      <c r="D413" s="15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1:20" ht="15.75" x14ac:dyDescent="0.25">
      <c r="A414"/>
      <c r="B414"/>
      <c r="C414"/>
      <c r="D414" s="15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1:20" ht="15.75" x14ac:dyDescent="0.25">
      <c r="A415"/>
      <c r="B415"/>
      <c r="C415"/>
      <c r="D415" s="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1:20" ht="15.75" x14ac:dyDescent="0.25">
      <c r="A416"/>
      <c r="B416"/>
      <c r="C416"/>
      <c r="D416" s="15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1:20" ht="15.75" x14ac:dyDescent="0.25">
      <c r="A417"/>
      <c r="B417"/>
      <c r="C417"/>
      <c r="D417" s="15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1:20" ht="15.75" x14ac:dyDescent="0.25">
      <c r="A418"/>
      <c r="B418"/>
      <c r="C418"/>
      <c r="D418" s="15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1:20" ht="15.75" x14ac:dyDescent="0.25">
      <c r="A419"/>
      <c r="B419"/>
      <c r="C419"/>
      <c r="D419" s="15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1:20" ht="15.75" x14ac:dyDescent="0.25">
      <c r="A420"/>
      <c r="B420"/>
      <c r="C420"/>
      <c r="D420" s="15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1:20" ht="15.75" x14ac:dyDescent="0.25">
      <c r="A421"/>
      <c r="B421"/>
      <c r="C421"/>
      <c r="D421" s="15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1:20" ht="15.75" x14ac:dyDescent="0.25">
      <c r="A422"/>
      <c r="B422"/>
      <c r="C422"/>
      <c r="D422" s="15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1:20" ht="15.75" x14ac:dyDescent="0.25">
      <c r="A423"/>
      <c r="B423"/>
      <c r="C423"/>
      <c r="D423" s="15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1:20" ht="15.75" x14ac:dyDescent="0.25">
      <c r="A424"/>
      <c r="B424"/>
      <c r="C424"/>
      <c r="D424" s="15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1:20" ht="15.75" x14ac:dyDescent="0.25">
      <c r="A425"/>
      <c r="B425"/>
      <c r="C425"/>
      <c r="D425" s="1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1:20" ht="15.75" x14ac:dyDescent="0.25">
      <c r="A426"/>
      <c r="B426"/>
      <c r="C426"/>
      <c r="D426" s="15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1:20" ht="15.75" x14ac:dyDescent="0.25">
      <c r="A427"/>
      <c r="B427"/>
      <c r="C427"/>
      <c r="D427" s="15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1:20" ht="15.75" x14ac:dyDescent="0.25">
      <c r="A428"/>
      <c r="B428"/>
      <c r="C428"/>
      <c r="D428" s="15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1:20" ht="15.75" x14ac:dyDescent="0.25">
      <c r="A429"/>
      <c r="B429"/>
      <c r="C429"/>
      <c r="D429" s="15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1:20" ht="15.75" x14ac:dyDescent="0.25">
      <c r="A430"/>
      <c r="B430"/>
      <c r="C430"/>
      <c r="D430" s="15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1:20" ht="15.75" x14ac:dyDescent="0.25">
      <c r="A431"/>
      <c r="B431"/>
      <c r="C431"/>
      <c r="D431" s="15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1:20" ht="15.75" x14ac:dyDescent="0.25">
      <c r="A432"/>
      <c r="B432"/>
      <c r="C432"/>
      <c r="D432" s="15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1:20" ht="15.75" x14ac:dyDescent="0.25">
      <c r="A433"/>
      <c r="B433"/>
      <c r="C433"/>
      <c r="D433" s="15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1:20" ht="15.75" x14ac:dyDescent="0.25">
      <c r="A434"/>
      <c r="B434"/>
      <c r="C434"/>
      <c r="D434" s="15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1:20" ht="15.75" x14ac:dyDescent="0.25">
      <c r="A435"/>
      <c r="B435"/>
      <c r="C435"/>
      <c r="D435" s="1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1:20" ht="15.75" x14ac:dyDescent="0.25">
      <c r="A436"/>
      <c r="B436"/>
      <c r="C436"/>
      <c r="D436" s="15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1:20" ht="15.75" x14ac:dyDescent="0.25">
      <c r="A437"/>
      <c r="B437"/>
      <c r="C437"/>
      <c r="D437" s="15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1:20" ht="15.75" x14ac:dyDescent="0.25">
      <c r="A438"/>
      <c r="B438"/>
      <c r="C438"/>
      <c r="D438" s="15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1:20" ht="15.75" x14ac:dyDescent="0.25">
      <c r="A439"/>
      <c r="B439"/>
      <c r="C439"/>
      <c r="D439" s="15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1:20" ht="15.75" x14ac:dyDescent="0.25">
      <c r="A440"/>
      <c r="B440"/>
      <c r="C440"/>
      <c r="D440" s="15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1:20" ht="15.75" x14ac:dyDescent="0.25">
      <c r="A441"/>
      <c r="B441"/>
      <c r="C441"/>
      <c r="D441" s="15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1:20" ht="15.75" x14ac:dyDescent="0.25">
      <c r="A442"/>
      <c r="B442"/>
      <c r="C442"/>
      <c r="D442" s="15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1:20" ht="15.75" x14ac:dyDescent="0.25">
      <c r="A443"/>
      <c r="B443"/>
      <c r="C443"/>
      <c r="D443" s="15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1:20" ht="15.75" x14ac:dyDescent="0.25">
      <c r="A444"/>
      <c r="B444"/>
      <c r="C444"/>
      <c r="D444" s="15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1:20" ht="15.75" x14ac:dyDescent="0.25">
      <c r="A445"/>
      <c r="B445"/>
      <c r="C445"/>
      <c r="D445" s="1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1:20" ht="15.75" x14ac:dyDescent="0.25">
      <c r="A446"/>
      <c r="B446"/>
      <c r="C446"/>
      <c r="D446" s="15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1:20" ht="15.75" x14ac:dyDescent="0.25">
      <c r="A447"/>
      <c r="B447"/>
      <c r="C447"/>
      <c r="D447" s="15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1:20" ht="15.75" x14ac:dyDescent="0.25">
      <c r="A448"/>
      <c r="B448"/>
      <c r="C448"/>
      <c r="D448" s="15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1:20" ht="15.75" x14ac:dyDescent="0.25">
      <c r="A449"/>
      <c r="B449"/>
      <c r="C449"/>
      <c r="D449" s="15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1:20" ht="15.75" x14ac:dyDescent="0.25">
      <c r="A450"/>
      <c r="B450"/>
      <c r="C450"/>
      <c r="D450" s="15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1:20" ht="15.75" x14ac:dyDescent="0.25">
      <c r="A451"/>
      <c r="B451"/>
      <c r="C451"/>
      <c r="D451" s="15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1:20" ht="15.75" x14ac:dyDescent="0.25">
      <c r="A452"/>
      <c r="B452"/>
      <c r="C452"/>
      <c r="D452" s="15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1:20" ht="15.75" x14ac:dyDescent="0.25">
      <c r="A453"/>
      <c r="B453"/>
      <c r="C453"/>
      <c r="D453" s="15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1:20" ht="15.75" x14ac:dyDescent="0.25">
      <c r="A454"/>
      <c r="B454"/>
      <c r="C454"/>
      <c r="D454" s="15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1:20" ht="15.75" x14ac:dyDescent="0.25">
      <c r="A455"/>
      <c r="B455"/>
      <c r="C455"/>
      <c r="D455" s="1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1:20" ht="15.75" x14ac:dyDescent="0.25">
      <c r="A456"/>
      <c r="B456"/>
      <c r="C456"/>
      <c r="D456" s="15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 spans="1:20" ht="15.75" x14ac:dyDescent="0.25">
      <c r="A457"/>
      <c r="B457"/>
      <c r="C457"/>
      <c r="D457" s="15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1:20" ht="15.75" x14ac:dyDescent="0.25">
      <c r="A458"/>
      <c r="B458"/>
      <c r="C458"/>
      <c r="D458" s="15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1:20" ht="15.75" x14ac:dyDescent="0.25">
      <c r="A459"/>
      <c r="B459"/>
      <c r="C459"/>
      <c r="D459" s="15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1:20" ht="15.75" x14ac:dyDescent="0.25">
      <c r="A460"/>
      <c r="B460"/>
      <c r="C460"/>
      <c r="D460" s="15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1:20" ht="15.75" x14ac:dyDescent="0.25">
      <c r="A461"/>
      <c r="B461"/>
      <c r="C461"/>
      <c r="D461" s="15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 spans="1:20" ht="15.75" x14ac:dyDescent="0.25">
      <c r="A462"/>
      <c r="B462"/>
      <c r="C462"/>
      <c r="D462" s="15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1:20" ht="15.75" x14ac:dyDescent="0.25">
      <c r="A463"/>
      <c r="B463"/>
      <c r="C463"/>
      <c r="D463" s="15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1:20" ht="15.75" x14ac:dyDescent="0.25">
      <c r="A464"/>
      <c r="B464"/>
      <c r="C464"/>
      <c r="D464" s="15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1:20" ht="15.75" x14ac:dyDescent="0.25">
      <c r="A465"/>
      <c r="B465"/>
      <c r="C465"/>
      <c r="D465" s="1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1:20" ht="15.75" x14ac:dyDescent="0.25">
      <c r="A466"/>
      <c r="B466"/>
      <c r="C466"/>
      <c r="D466" s="15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1:20" ht="15.75" x14ac:dyDescent="0.25">
      <c r="A467"/>
      <c r="B467"/>
      <c r="C467"/>
      <c r="D467" s="15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1:20" ht="15.75" x14ac:dyDescent="0.25">
      <c r="A468"/>
      <c r="B468"/>
      <c r="C468"/>
      <c r="D468" s="15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 spans="1:20" ht="15.75" x14ac:dyDescent="0.25">
      <c r="A469"/>
      <c r="B469"/>
      <c r="C469"/>
      <c r="D469" s="15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1:20" ht="15.75" x14ac:dyDescent="0.25">
      <c r="A470"/>
      <c r="B470"/>
      <c r="C470"/>
      <c r="D470" s="15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1:20" ht="15.75" x14ac:dyDescent="0.25">
      <c r="A471"/>
      <c r="B471"/>
      <c r="C471"/>
      <c r="D471" s="15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1:20" ht="15.75" x14ac:dyDescent="0.25">
      <c r="A472"/>
      <c r="B472"/>
      <c r="C472"/>
      <c r="D472" s="15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1:20" ht="15.75" x14ac:dyDescent="0.25">
      <c r="A473"/>
      <c r="B473"/>
      <c r="C473"/>
      <c r="D473" s="15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 spans="1:20" ht="15.75" x14ac:dyDescent="0.25">
      <c r="A474"/>
      <c r="B474"/>
      <c r="C474"/>
      <c r="D474" s="15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1:20" ht="15.75" x14ac:dyDescent="0.25">
      <c r="A475"/>
      <c r="B475"/>
      <c r="C475"/>
      <c r="D475" s="1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1:20" ht="15.75" x14ac:dyDescent="0.25">
      <c r="A476"/>
      <c r="B476"/>
      <c r="C476"/>
      <c r="D476" s="15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1:20" ht="15.75" x14ac:dyDescent="0.25">
      <c r="A477"/>
      <c r="B477"/>
      <c r="C477"/>
      <c r="D477" s="15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1:20" ht="15.75" x14ac:dyDescent="0.25">
      <c r="A478"/>
      <c r="B478"/>
      <c r="C478"/>
      <c r="D478" s="15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 spans="1:20" ht="15.75" x14ac:dyDescent="0.25">
      <c r="A479"/>
      <c r="B479"/>
      <c r="C479"/>
      <c r="D479" s="15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1:20" ht="15.75" x14ac:dyDescent="0.25">
      <c r="A480"/>
      <c r="B480"/>
      <c r="C480"/>
      <c r="D480" s="15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1:20" ht="15.75" x14ac:dyDescent="0.25">
      <c r="A481"/>
      <c r="B481"/>
      <c r="C481"/>
      <c r="D481" s="15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1:20" ht="15.75" x14ac:dyDescent="0.25">
      <c r="A482"/>
      <c r="B482"/>
      <c r="C482"/>
      <c r="D482" s="15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1:20" ht="15.75" x14ac:dyDescent="0.25">
      <c r="A483"/>
      <c r="B483"/>
      <c r="C483"/>
      <c r="D483" s="15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1:20" ht="15.75" x14ac:dyDescent="0.25">
      <c r="A484"/>
      <c r="B484"/>
      <c r="C484"/>
      <c r="D484" s="15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1:20" ht="15.75" x14ac:dyDescent="0.25">
      <c r="A485"/>
      <c r="B485"/>
      <c r="C485"/>
      <c r="D485" s="1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 spans="1:20" ht="15.75" x14ac:dyDescent="0.25">
      <c r="A486"/>
      <c r="B486"/>
      <c r="C486"/>
      <c r="D486" s="15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1:20" ht="15.75" x14ac:dyDescent="0.25">
      <c r="A487"/>
      <c r="B487"/>
      <c r="C487"/>
      <c r="D487" s="15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1:20" ht="15.75" x14ac:dyDescent="0.25">
      <c r="A488"/>
      <c r="B488"/>
      <c r="C488"/>
      <c r="D488" s="15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1:20" ht="15.75" x14ac:dyDescent="0.25">
      <c r="A489"/>
      <c r="B489"/>
      <c r="C489"/>
      <c r="D489" s="15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1:20" ht="15.75" x14ac:dyDescent="0.25">
      <c r="A490"/>
      <c r="B490"/>
      <c r="C490"/>
      <c r="D490" s="15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1:20" ht="15.75" x14ac:dyDescent="0.25">
      <c r="A491"/>
      <c r="B491"/>
      <c r="C491"/>
      <c r="D491" s="15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1:20" ht="15.75" x14ac:dyDescent="0.25">
      <c r="A492"/>
      <c r="B492"/>
      <c r="C492"/>
      <c r="D492" s="15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1:20" ht="15.75" x14ac:dyDescent="0.25">
      <c r="A493"/>
      <c r="B493"/>
      <c r="C493"/>
      <c r="D493" s="15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 spans="1:20" ht="15.75" x14ac:dyDescent="0.25">
      <c r="A494"/>
      <c r="B494"/>
      <c r="C494"/>
      <c r="D494" s="15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1:20" ht="15.75" x14ac:dyDescent="0.25">
      <c r="A495"/>
      <c r="B495"/>
      <c r="C495"/>
      <c r="D495" s="1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1:20" ht="15.75" x14ac:dyDescent="0.25">
      <c r="A496"/>
      <c r="B496"/>
      <c r="C496"/>
      <c r="D496" s="15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1:20" ht="15.75" x14ac:dyDescent="0.25">
      <c r="A497"/>
      <c r="B497"/>
      <c r="C497"/>
      <c r="D497" s="15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1:20" ht="15.75" x14ac:dyDescent="0.25">
      <c r="A498"/>
      <c r="B498"/>
      <c r="C498"/>
      <c r="D498" s="15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1:20" ht="15.75" x14ac:dyDescent="0.25">
      <c r="A499"/>
      <c r="B499"/>
      <c r="C499"/>
      <c r="D499" s="15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1:20" ht="15.75" x14ac:dyDescent="0.25">
      <c r="A500"/>
      <c r="B500"/>
      <c r="C500"/>
      <c r="D500" s="15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1:20" ht="15.75" x14ac:dyDescent="0.25">
      <c r="A501"/>
      <c r="B501"/>
      <c r="C501"/>
      <c r="D501" s="15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1:20" ht="15.75" x14ac:dyDescent="0.25">
      <c r="A502"/>
      <c r="B502"/>
      <c r="C502"/>
      <c r="D502" s="15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1:20" ht="15.75" x14ac:dyDescent="0.25">
      <c r="A503"/>
      <c r="B503"/>
      <c r="C503"/>
      <c r="D503" s="15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 spans="1:20" ht="15.75" x14ac:dyDescent="0.25">
      <c r="A504"/>
      <c r="B504"/>
      <c r="C504"/>
      <c r="D504" s="15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1:20" ht="15.75" x14ac:dyDescent="0.25">
      <c r="A505"/>
      <c r="B505"/>
      <c r="C505"/>
      <c r="D505" s="1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1:20" ht="15.75" x14ac:dyDescent="0.25">
      <c r="A506"/>
      <c r="B506"/>
      <c r="C506"/>
      <c r="D506" s="15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 spans="1:20" ht="15.75" x14ac:dyDescent="0.25">
      <c r="A507"/>
      <c r="B507"/>
      <c r="C507"/>
      <c r="D507" s="15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1:20" ht="15.75" x14ac:dyDescent="0.25">
      <c r="A508"/>
      <c r="B508"/>
      <c r="C508"/>
      <c r="D508" s="15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1:20" ht="15.75" x14ac:dyDescent="0.25">
      <c r="A509"/>
      <c r="B509"/>
      <c r="C509"/>
      <c r="D509" s="15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1:20" ht="15.75" x14ac:dyDescent="0.25">
      <c r="A510"/>
      <c r="B510"/>
      <c r="C510"/>
      <c r="D510" s="15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1:20" ht="15.75" x14ac:dyDescent="0.25">
      <c r="A511"/>
      <c r="B511"/>
      <c r="C511"/>
      <c r="D511" s="15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1:20" ht="15.75" x14ac:dyDescent="0.25">
      <c r="A512"/>
      <c r="B512"/>
      <c r="C512"/>
      <c r="D512" s="15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1:20" ht="15.75" x14ac:dyDescent="0.25">
      <c r="A513"/>
      <c r="B513"/>
      <c r="C513"/>
      <c r="D513" s="15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1:20" ht="15.75" x14ac:dyDescent="0.25">
      <c r="A514"/>
      <c r="B514"/>
      <c r="C514"/>
      <c r="D514" s="15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1:20" ht="15.75" x14ac:dyDescent="0.25">
      <c r="A515"/>
      <c r="B515"/>
      <c r="C515"/>
      <c r="D515" s="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1:20" ht="15.75" x14ac:dyDescent="0.25">
      <c r="A516"/>
      <c r="B516"/>
      <c r="C516"/>
      <c r="D516" s="15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1:20" ht="15.75" x14ac:dyDescent="0.25">
      <c r="A517"/>
      <c r="B517"/>
      <c r="C517"/>
      <c r="D517" s="15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1:20" ht="15.75" x14ac:dyDescent="0.25">
      <c r="A518"/>
      <c r="B518"/>
      <c r="C518"/>
      <c r="D518" s="15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1:20" ht="15.75" x14ac:dyDescent="0.25">
      <c r="A519"/>
      <c r="B519"/>
      <c r="C519"/>
      <c r="D519" s="15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1:20" ht="15.75" x14ac:dyDescent="0.25">
      <c r="A520"/>
      <c r="B520"/>
      <c r="C520"/>
      <c r="D520" s="15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1:20" ht="15.75" x14ac:dyDescent="0.25">
      <c r="A521"/>
      <c r="B521"/>
      <c r="C521"/>
      <c r="D521" s="15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1:20" ht="15.75" x14ac:dyDescent="0.25">
      <c r="A522"/>
      <c r="B522"/>
      <c r="C522"/>
      <c r="D522" s="15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1:20" ht="15.75" x14ac:dyDescent="0.25">
      <c r="A523"/>
      <c r="B523"/>
      <c r="C523"/>
      <c r="D523" s="15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1:20" ht="15.75" x14ac:dyDescent="0.25">
      <c r="A524"/>
      <c r="B524"/>
      <c r="C524"/>
      <c r="D524" s="15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1:20" ht="15.75" x14ac:dyDescent="0.25">
      <c r="A525"/>
      <c r="B525"/>
      <c r="C525"/>
      <c r="D525" s="1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</row>
    <row r="526" spans="1:20" ht="15.75" x14ac:dyDescent="0.25">
      <c r="A526"/>
      <c r="B526"/>
      <c r="C526"/>
      <c r="D526" s="15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1:20" ht="15.75" x14ac:dyDescent="0.25">
      <c r="A527"/>
      <c r="B527"/>
      <c r="C527"/>
      <c r="D527" s="15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1:20" ht="15.75" x14ac:dyDescent="0.25">
      <c r="A528"/>
      <c r="B528"/>
      <c r="C528"/>
      <c r="D528" s="15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1:20" ht="15.75" x14ac:dyDescent="0.25">
      <c r="A529"/>
      <c r="B529"/>
      <c r="C529"/>
      <c r="D529" s="15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1:20" ht="15.75" x14ac:dyDescent="0.25">
      <c r="A530"/>
      <c r="B530"/>
      <c r="C530"/>
      <c r="D530" s="15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1:20" ht="15.75" x14ac:dyDescent="0.25">
      <c r="A531"/>
      <c r="B531"/>
      <c r="C531"/>
      <c r="D531" s="15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1:20" ht="15.75" x14ac:dyDescent="0.25">
      <c r="A532"/>
      <c r="B532"/>
      <c r="C532"/>
      <c r="D532" s="15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</row>
    <row r="533" spans="1:20" ht="15.75" x14ac:dyDescent="0.25">
      <c r="A533"/>
      <c r="B533"/>
      <c r="C533"/>
      <c r="D533" s="15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1:20" ht="15.75" x14ac:dyDescent="0.25">
      <c r="A534"/>
      <c r="B534"/>
      <c r="C534"/>
      <c r="D534" s="15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1:20" ht="15.75" x14ac:dyDescent="0.25">
      <c r="A535"/>
      <c r="B535"/>
      <c r="C535"/>
      <c r="D535" s="1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1:20" ht="15.75" x14ac:dyDescent="0.25">
      <c r="A536"/>
      <c r="B536"/>
      <c r="C536"/>
      <c r="D536" s="15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1:20" ht="15.75" x14ac:dyDescent="0.25">
      <c r="A537"/>
      <c r="B537"/>
      <c r="C537"/>
      <c r="D537" s="15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1:20" ht="15.75" x14ac:dyDescent="0.25">
      <c r="A538"/>
      <c r="B538"/>
      <c r="C538"/>
      <c r="D538" s="15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1:20" ht="15.75" x14ac:dyDescent="0.25">
      <c r="A539"/>
      <c r="B539"/>
      <c r="C539"/>
      <c r="D539" s="15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1:20" ht="15.75" x14ac:dyDescent="0.25">
      <c r="A540"/>
      <c r="B540"/>
      <c r="C540"/>
      <c r="D540" s="15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 spans="1:20" ht="15.75" x14ac:dyDescent="0.25">
      <c r="A541"/>
      <c r="B541"/>
      <c r="C541"/>
      <c r="D541" s="15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1:20" ht="15.75" x14ac:dyDescent="0.25">
      <c r="A542"/>
      <c r="B542"/>
      <c r="C542"/>
      <c r="D542" s="15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1:20" ht="15.75" x14ac:dyDescent="0.25">
      <c r="A543"/>
      <c r="B543"/>
      <c r="C543"/>
      <c r="D543" s="15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1:20" ht="15.75" x14ac:dyDescent="0.25">
      <c r="A544"/>
      <c r="B544"/>
      <c r="C544"/>
      <c r="D544" s="15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1:20" ht="15.75" x14ac:dyDescent="0.25">
      <c r="A545"/>
      <c r="B545"/>
      <c r="C545"/>
      <c r="D545" s="1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1:20" ht="15.75" x14ac:dyDescent="0.25">
      <c r="A546"/>
      <c r="B546"/>
      <c r="C546"/>
      <c r="D546" s="15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1:20" ht="15.75" x14ac:dyDescent="0.25">
      <c r="A547"/>
      <c r="B547"/>
      <c r="C547"/>
      <c r="D547" s="15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1:20" ht="15.75" x14ac:dyDescent="0.25">
      <c r="A548"/>
      <c r="B548"/>
      <c r="C548"/>
      <c r="D548" s="15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1:20" ht="15.75" x14ac:dyDescent="0.25">
      <c r="A549"/>
      <c r="B549"/>
      <c r="C549"/>
      <c r="D549" s="15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1:20" ht="15.75" x14ac:dyDescent="0.25">
      <c r="A550"/>
      <c r="B550"/>
      <c r="C550"/>
      <c r="D550" s="15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1:20" ht="15.75" x14ac:dyDescent="0.25">
      <c r="A551"/>
      <c r="B551"/>
      <c r="C551"/>
      <c r="D551" s="15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1:20" ht="15.75" x14ac:dyDescent="0.25">
      <c r="A552"/>
      <c r="B552"/>
      <c r="C552"/>
      <c r="D552" s="15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1:20" ht="15.75" x14ac:dyDescent="0.25">
      <c r="A553"/>
      <c r="B553"/>
      <c r="C553"/>
      <c r="D553" s="15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1:20" ht="15.75" x14ac:dyDescent="0.25">
      <c r="A554"/>
      <c r="B554"/>
      <c r="C554"/>
      <c r="D554" s="15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1:20" ht="15.75" x14ac:dyDescent="0.25">
      <c r="A555"/>
      <c r="B555"/>
      <c r="C555"/>
      <c r="D555" s="1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1:20" ht="15.75" x14ac:dyDescent="0.25">
      <c r="A556"/>
      <c r="B556"/>
      <c r="C556"/>
      <c r="D556" s="15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1:20" ht="15.75" x14ac:dyDescent="0.25">
      <c r="A557"/>
      <c r="B557"/>
      <c r="C557"/>
      <c r="D557" s="15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1:20" ht="15.75" x14ac:dyDescent="0.25">
      <c r="A558"/>
      <c r="B558"/>
      <c r="C558"/>
      <c r="D558" s="15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1:20" ht="15.75" x14ac:dyDescent="0.25">
      <c r="A559"/>
      <c r="B559"/>
      <c r="C559"/>
      <c r="D559" s="15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1:20" ht="15.75" x14ac:dyDescent="0.25">
      <c r="A560"/>
      <c r="B560"/>
      <c r="C560"/>
      <c r="D560" s="15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1:20" ht="15.75" x14ac:dyDescent="0.25">
      <c r="A561"/>
      <c r="B561"/>
      <c r="C561"/>
      <c r="D561" s="15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1:20" ht="15.75" x14ac:dyDescent="0.25">
      <c r="A562"/>
      <c r="B562"/>
      <c r="C562"/>
      <c r="D562" s="15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1:20" ht="15.75" x14ac:dyDescent="0.25">
      <c r="A563"/>
      <c r="B563"/>
      <c r="C563"/>
      <c r="D563" s="15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1:20" ht="15.75" x14ac:dyDescent="0.25">
      <c r="A564"/>
      <c r="B564"/>
      <c r="C564"/>
      <c r="D564" s="15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1:20" ht="15.75" x14ac:dyDescent="0.25">
      <c r="A565"/>
      <c r="B565"/>
      <c r="C565"/>
      <c r="D565" s="1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1:20" ht="15.75" x14ac:dyDescent="0.25">
      <c r="A566"/>
      <c r="B566"/>
      <c r="C566"/>
      <c r="D566" s="15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1:20" ht="15.75" x14ac:dyDescent="0.25">
      <c r="A567"/>
      <c r="B567"/>
      <c r="C567"/>
      <c r="D567" s="15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1:20" ht="15.75" x14ac:dyDescent="0.25">
      <c r="A568"/>
      <c r="B568"/>
      <c r="C568"/>
      <c r="D568" s="15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1:20" ht="15.75" x14ac:dyDescent="0.25">
      <c r="A569"/>
      <c r="B569"/>
      <c r="C569"/>
      <c r="D569" s="15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1:20" ht="15.75" x14ac:dyDescent="0.25">
      <c r="A570"/>
      <c r="B570"/>
      <c r="C570"/>
      <c r="D570" s="15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1:20" ht="15.75" x14ac:dyDescent="0.25">
      <c r="A571"/>
      <c r="B571"/>
      <c r="C571"/>
      <c r="D571" s="15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1:20" ht="15.75" x14ac:dyDescent="0.25">
      <c r="A572"/>
      <c r="B572"/>
      <c r="C572"/>
      <c r="D572" s="15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 spans="1:20" ht="15.75" x14ac:dyDescent="0.25">
      <c r="A573"/>
      <c r="B573"/>
      <c r="C573"/>
      <c r="D573" s="15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1:20" ht="15.75" x14ac:dyDescent="0.25">
      <c r="A574"/>
      <c r="B574"/>
      <c r="C574"/>
      <c r="D574" s="15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1:20" ht="15.75" x14ac:dyDescent="0.25">
      <c r="A575"/>
      <c r="B575"/>
      <c r="C575"/>
      <c r="D575" s="1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1:20" ht="15.75" x14ac:dyDescent="0.25">
      <c r="A576"/>
      <c r="B576"/>
      <c r="C576"/>
      <c r="D576" s="15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1:20" ht="15.75" x14ac:dyDescent="0.25">
      <c r="A577"/>
      <c r="B577"/>
      <c r="C577"/>
      <c r="D577" s="15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1:20" ht="15.75" x14ac:dyDescent="0.25">
      <c r="A578"/>
      <c r="B578"/>
      <c r="C578"/>
      <c r="D578" s="15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1:20" ht="15.75" x14ac:dyDescent="0.25">
      <c r="A579"/>
      <c r="B579"/>
      <c r="C579"/>
      <c r="D579" s="15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1:20" ht="15.75" x14ac:dyDescent="0.25">
      <c r="A580"/>
      <c r="B580"/>
      <c r="C580"/>
      <c r="D580" s="15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1:20" ht="15.75" x14ac:dyDescent="0.25">
      <c r="A581"/>
      <c r="B581"/>
      <c r="C581"/>
      <c r="D581" s="15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1:20" ht="15.75" x14ac:dyDescent="0.25">
      <c r="A582"/>
      <c r="B582"/>
      <c r="C582"/>
      <c r="D582" s="15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 spans="1:20" ht="15.75" x14ac:dyDescent="0.25">
      <c r="A583"/>
      <c r="B583"/>
      <c r="C583"/>
      <c r="D583" s="15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1:20" ht="15.75" x14ac:dyDescent="0.25">
      <c r="A584"/>
      <c r="B584"/>
      <c r="C584"/>
      <c r="D584" s="15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1:20" ht="15.75" x14ac:dyDescent="0.25">
      <c r="A585"/>
      <c r="B585"/>
      <c r="C585"/>
      <c r="D585" s="1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1:20" ht="15.75" x14ac:dyDescent="0.25">
      <c r="A586"/>
      <c r="B586"/>
      <c r="C586"/>
      <c r="D586" s="15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1:20" ht="15.75" x14ac:dyDescent="0.25">
      <c r="A587"/>
      <c r="B587"/>
      <c r="C587"/>
      <c r="D587" s="15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1:20" ht="15.75" x14ac:dyDescent="0.25">
      <c r="A588"/>
      <c r="B588"/>
      <c r="C588"/>
      <c r="D588" s="15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1:20" ht="15.75" x14ac:dyDescent="0.25">
      <c r="A589"/>
      <c r="B589"/>
      <c r="C589"/>
      <c r="D589" s="15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1:20" ht="15.75" x14ac:dyDescent="0.25">
      <c r="A590"/>
      <c r="B590"/>
      <c r="C590"/>
      <c r="D590" s="15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1:20" ht="15.75" x14ac:dyDescent="0.25">
      <c r="A591"/>
      <c r="B591"/>
      <c r="C591"/>
      <c r="D591" s="15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1:20" ht="15.75" x14ac:dyDescent="0.25">
      <c r="A592"/>
      <c r="B592"/>
      <c r="C592"/>
      <c r="D592" s="15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1:20" ht="15.75" x14ac:dyDescent="0.25">
      <c r="A593"/>
      <c r="B593"/>
      <c r="C593"/>
      <c r="D593" s="15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1:20" ht="15.75" x14ac:dyDescent="0.25">
      <c r="A594"/>
      <c r="B594"/>
      <c r="C594"/>
      <c r="D594" s="15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1:20" ht="15.75" x14ac:dyDescent="0.25">
      <c r="A595"/>
      <c r="B595"/>
      <c r="C595"/>
      <c r="D595" s="1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1:20" ht="15.75" x14ac:dyDescent="0.25">
      <c r="A596"/>
      <c r="B596"/>
      <c r="C596"/>
      <c r="D596" s="15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</row>
    <row r="597" spans="1:20" ht="15.75" x14ac:dyDescent="0.25">
      <c r="A597"/>
      <c r="B597"/>
      <c r="C597"/>
      <c r="D597" s="15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1:20" ht="15.75" x14ac:dyDescent="0.25">
      <c r="A598"/>
      <c r="B598"/>
      <c r="C598"/>
      <c r="D598" s="15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1:20" ht="15.75" x14ac:dyDescent="0.25">
      <c r="A599"/>
      <c r="B599"/>
      <c r="C599"/>
      <c r="D599" s="15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1:20" ht="15.75" x14ac:dyDescent="0.25">
      <c r="A600"/>
      <c r="B600"/>
      <c r="C600"/>
      <c r="D600" s="15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1:20" ht="15.75" x14ac:dyDescent="0.25">
      <c r="A601"/>
      <c r="B601"/>
      <c r="C601"/>
      <c r="D601" s="15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1:20" ht="15.75" x14ac:dyDescent="0.25">
      <c r="A602"/>
      <c r="B602"/>
      <c r="C602"/>
      <c r="D602" s="15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1:20" ht="15.75" x14ac:dyDescent="0.25">
      <c r="A603"/>
      <c r="B603"/>
      <c r="C603"/>
      <c r="D603" s="15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1:20" ht="15.75" x14ac:dyDescent="0.25">
      <c r="A604"/>
      <c r="B604"/>
      <c r="C604"/>
      <c r="D604" s="15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1:20" ht="15.75" x14ac:dyDescent="0.25">
      <c r="A605"/>
      <c r="B605"/>
      <c r="C605"/>
      <c r="D605" s="1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1:20" ht="15.75" x14ac:dyDescent="0.25">
      <c r="A606"/>
      <c r="B606"/>
      <c r="C606"/>
      <c r="D606" s="15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</row>
    <row r="607" spans="1:20" ht="15.75" x14ac:dyDescent="0.25">
      <c r="A607"/>
      <c r="B607"/>
      <c r="C607"/>
      <c r="D607" s="15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1:20" ht="15.75" x14ac:dyDescent="0.25">
      <c r="A608"/>
      <c r="B608"/>
      <c r="C608"/>
      <c r="D608" s="15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1:20" ht="15.75" x14ac:dyDescent="0.25">
      <c r="A609"/>
      <c r="B609"/>
      <c r="C609"/>
      <c r="D609" s="15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1:20" ht="15.75" x14ac:dyDescent="0.25">
      <c r="A610"/>
      <c r="B610"/>
      <c r="C610"/>
      <c r="D610" s="15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1:20" ht="15.75" x14ac:dyDescent="0.25">
      <c r="A611"/>
      <c r="B611"/>
      <c r="C611"/>
      <c r="D611" s="15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1:20" ht="15.75" x14ac:dyDescent="0.25">
      <c r="A612"/>
      <c r="B612"/>
      <c r="C612"/>
      <c r="D612" s="15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1:20" ht="15.75" x14ac:dyDescent="0.25">
      <c r="A613"/>
      <c r="B613"/>
      <c r="C613"/>
      <c r="D613" s="15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</row>
    <row r="614" spans="1:20" ht="15.75" x14ac:dyDescent="0.25">
      <c r="A614"/>
      <c r="B614"/>
      <c r="C614"/>
      <c r="D614" s="15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1:20" ht="15.75" x14ac:dyDescent="0.25">
      <c r="A615"/>
      <c r="B615"/>
      <c r="C615"/>
      <c r="D615" s="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1:20" ht="15.75" x14ac:dyDescent="0.25">
      <c r="A616"/>
      <c r="B616"/>
      <c r="C616"/>
      <c r="D616" s="15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1:20" ht="15.75" x14ac:dyDescent="0.25">
      <c r="A617"/>
      <c r="B617"/>
      <c r="C617"/>
      <c r="D617" s="15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1:20" ht="15.75" x14ac:dyDescent="0.25">
      <c r="A618"/>
      <c r="B618"/>
      <c r="C618"/>
      <c r="D618" s="15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1:20" ht="15.75" x14ac:dyDescent="0.25">
      <c r="A619"/>
      <c r="B619"/>
      <c r="C619"/>
      <c r="D619" s="15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1:20" ht="15.75" x14ac:dyDescent="0.25">
      <c r="A620"/>
      <c r="B620"/>
      <c r="C620"/>
      <c r="D620" s="15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</row>
    <row r="621" spans="1:20" ht="15.75" x14ac:dyDescent="0.25">
      <c r="A621"/>
      <c r="B621"/>
      <c r="C621"/>
      <c r="D621" s="15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1:20" ht="15.75" x14ac:dyDescent="0.25">
      <c r="A622"/>
      <c r="B622"/>
      <c r="C622"/>
      <c r="D622" s="15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1:20" ht="15.75" x14ac:dyDescent="0.25">
      <c r="A623"/>
      <c r="B623"/>
      <c r="C623"/>
      <c r="D623" s="15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1:20" ht="15.75" x14ac:dyDescent="0.25">
      <c r="A624"/>
      <c r="B624"/>
      <c r="C624"/>
      <c r="D624" s="15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1:20" ht="15.75" x14ac:dyDescent="0.25">
      <c r="A625"/>
      <c r="B625"/>
      <c r="C625"/>
      <c r="D625" s="1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</row>
    <row r="626" spans="1:20" ht="15.75" x14ac:dyDescent="0.25">
      <c r="A626"/>
      <c r="B626"/>
      <c r="C626"/>
      <c r="D626" s="15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1:20" ht="15.75" x14ac:dyDescent="0.25">
      <c r="A627"/>
      <c r="B627"/>
      <c r="C627"/>
      <c r="D627" s="15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1:20" ht="15.75" x14ac:dyDescent="0.25">
      <c r="A628"/>
      <c r="B628"/>
      <c r="C628"/>
      <c r="D628" s="15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1:20" ht="15.75" x14ac:dyDescent="0.25">
      <c r="A629"/>
      <c r="B629"/>
      <c r="C629"/>
      <c r="D629" s="15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1:20" ht="15.75" x14ac:dyDescent="0.25">
      <c r="A630"/>
      <c r="B630"/>
      <c r="C630"/>
      <c r="D630" s="15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1:20" ht="15.75" x14ac:dyDescent="0.25">
      <c r="A631"/>
      <c r="B631"/>
      <c r="C631"/>
      <c r="D631" s="15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1:20" ht="15.75" x14ac:dyDescent="0.25">
      <c r="A632"/>
      <c r="B632"/>
      <c r="C632"/>
      <c r="D632" s="15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1:20" ht="15.75" x14ac:dyDescent="0.25">
      <c r="A633"/>
      <c r="B633"/>
      <c r="C633"/>
      <c r="D633" s="15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1:20" ht="15.75" x14ac:dyDescent="0.25">
      <c r="A634"/>
      <c r="B634"/>
      <c r="C634"/>
      <c r="D634" s="15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</row>
    <row r="635" spans="1:20" ht="15.75" x14ac:dyDescent="0.25">
      <c r="A635"/>
      <c r="B635"/>
      <c r="C635"/>
      <c r="D635" s="1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1:20" ht="15.75" x14ac:dyDescent="0.25">
      <c r="A636"/>
      <c r="B636"/>
      <c r="C636"/>
      <c r="D636" s="15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1:20" ht="15.75" x14ac:dyDescent="0.25">
      <c r="A637"/>
      <c r="B637"/>
      <c r="C637"/>
      <c r="D637" s="15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 spans="1:20" ht="15.75" x14ac:dyDescent="0.25">
      <c r="A638"/>
      <c r="B638"/>
      <c r="C638"/>
      <c r="D638" s="15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</row>
    <row r="639" spans="1:20" ht="15.75" x14ac:dyDescent="0.25">
      <c r="A639"/>
      <c r="B639"/>
      <c r="C639"/>
      <c r="D639" s="15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 spans="1:20" ht="15.75" x14ac:dyDescent="0.25">
      <c r="A640"/>
      <c r="B640"/>
      <c r="C640"/>
      <c r="D640" s="15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 spans="1:20" ht="15.75" x14ac:dyDescent="0.25">
      <c r="A641"/>
      <c r="B641"/>
      <c r="C641"/>
      <c r="D641" s="15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</row>
    <row r="642" spans="1:20" ht="15.75" x14ac:dyDescent="0.25">
      <c r="A642"/>
      <c r="B642"/>
      <c r="C642"/>
      <c r="D642" s="15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 spans="1:20" ht="15.75" x14ac:dyDescent="0.25">
      <c r="A643"/>
      <c r="B643"/>
      <c r="C643"/>
      <c r="D643" s="15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 spans="1:20" ht="15.75" x14ac:dyDescent="0.25">
      <c r="A644"/>
      <c r="B644"/>
      <c r="C644"/>
      <c r="D644" s="15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 spans="1:20" ht="15.75" x14ac:dyDescent="0.25">
      <c r="A645"/>
      <c r="B645"/>
      <c r="C645"/>
      <c r="D645" s="1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 spans="1:20" ht="15.75" x14ac:dyDescent="0.25">
      <c r="A646"/>
      <c r="B646"/>
      <c r="C646"/>
      <c r="D646" s="15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</row>
    <row r="647" spans="1:20" ht="15.75" x14ac:dyDescent="0.25">
      <c r="A647"/>
      <c r="B647"/>
      <c r="C647"/>
      <c r="D647" s="15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</row>
    <row r="648" spans="1:20" ht="15.75" x14ac:dyDescent="0.25">
      <c r="A648"/>
      <c r="B648"/>
      <c r="C648"/>
      <c r="D648" s="15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spans="1:20" ht="15.75" x14ac:dyDescent="0.25">
      <c r="A649"/>
      <c r="B649"/>
      <c r="C649"/>
      <c r="D649" s="15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</row>
    <row r="650" spans="1:20" ht="15.75" x14ac:dyDescent="0.25">
      <c r="A650"/>
      <c r="B650"/>
      <c r="C650"/>
      <c r="D650" s="15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</row>
    <row r="651" spans="1:20" ht="15.75" x14ac:dyDescent="0.25">
      <c r="A651"/>
      <c r="B651"/>
      <c r="C651"/>
      <c r="D651" s="15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</row>
    <row r="652" spans="1:20" ht="15.75" x14ac:dyDescent="0.25">
      <c r="A652"/>
      <c r="B652"/>
      <c r="C652"/>
      <c r="D652" s="15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</row>
    <row r="653" spans="1:20" ht="15.75" x14ac:dyDescent="0.25">
      <c r="A653"/>
      <c r="B653"/>
      <c r="C653"/>
      <c r="D653" s="15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</row>
    <row r="654" spans="1:20" ht="15.75" x14ac:dyDescent="0.25">
      <c r="A654"/>
      <c r="B654"/>
      <c r="C654"/>
      <c r="D654" s="15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</row>
    <row r="655" spans="1:20" ht="15.75" x14ac:dyDescent="0.25">
      <c r="A655"/>
      <c r="B655"/>
      <c r="C655"/>
      <c r="D655" s="1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</row>
    <row r="656" spans="1:20" ht="15.75" x14ac:dyDescent="0.25">
      <c r="A656"/>
      <c r="B656"/>
      <c r="C656"/>
      <c r="D656" s="15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</row>
    <row r="657" spans="1:20" ht="15.75" x14ac:dyDescent="0.25">
      <c r="A657"/>
      <c r="B657"/>
      <c r="C657"/>
      <c r="D657" s="15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 spans="1:20" ht="15.75" x14ac:dyDescent="0.25">
      <c r="A658"/>
      <c r="B658"/>
      <c r="C658"/>
      <c r="D658" s="15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 spans="1:20" ht="15.75" x14ac:dyDescent="0.25">
      <c r="A659"/>
      <c r="B659"/>
      <c r="C659"/>
      <c r="D659" s="15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</row>
    <row r="660" spans="1:20" ht="15.75" x14ac:dyDescent="0.25">
      <c r="A660"/>
      <c r="B660"/>
      <c r="C660"/>
      <c r="D660" s="15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</row>
    <row r="661" spans="1:20" ht="15.75" x14ac:dyDescent="0.25">
      <c r="A661"/>
      <c r="B661"/>
      <c r="C661"/>
      <c r="D661" s="15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 spans="1:20" ht="15.75" x14ac:dyDescent="0.25">
      <c r="A662"/>
      <c r="B662"/>
      <c r="C662"/>
      <c r="D662" s="15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 spans="1:20" ht="15.75" x14ac:dyDescent="0.25">
      <c r="A663"/>
      <c r="B663"/>
      <c r="C663"/>
      <c r="D663" s="15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</row>
    <row r="664" spans="1:20" ht="15.75" x14ac:dyDescent="0.25">
      <c r="A664"/>
      <c r="B664"/>
      <c r="C664"/>
      <c r="D664" s="15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 spans="1:20" ht="15.75" x14ac:dyDescent="0.25">
      <c r="A665"/>
      <c r="B665"/>
      <c r="C665"/>
      <c r="D665" s="1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 spans="1:20" ht="15.75" x14ac:dyDescent="0.25">
      <c r="A666"/>
      <c r="B666"/>
      <c r="C666"/>
      <c r="D666" s="15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 spans="1:20" ht="15.75" x14ac:dyDescent="0.25">
      <c r="A667"/>
      <c r="B667"/>
      <c r="C667"/>
      <c r="D667" s="15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1:20" ht="15.75" x14ac:dyDescent="0.25">
      <c r="A668"/>
      <c r="B668"/>
      <c r="C668"/>
      <c r="D668" s="15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1:20" ht="15.75" x14ac:dyDescent="0.25">
      <c r="A669"/>
      <c r="B669"/>
      <c r="C669"/>
      <c r="D669" s="15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1:20" ht="15.75" x14ac:dyDescent="0.25">
      <c r="A670"/>
      <c r="B670"/>
      <c r="C670"/>
      <c r="D670" s="15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1:20" ht="15.75" x14ac:dyDescent="0.25">
      <c r="A671"/>
      <c r="B671"/>
      <c r="C671"/>
      <c r="D671" s="15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1:20" ht="15.75" x14ac:dyDescent="0.25">
      <c r="A672"/>
      <c r="B672"/>
      <c r="C672"/>
      <c r="D672" s="15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 spans="1:20" ht="15.75" x14ac:dyDescent="0.25">
      <c r="A673"/>
      <c r="B673"/>
      <c r="C673"/>
      <c r="D673" s="15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1:20" ht="15.75" x14ac:dyDescent="0.25">
      <c r="A674"/>
      <c r="B674"/>
      <c r="C674"/>
      <c r="D674" s="15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1:20" ht="15.75" x14ac:dyDescent="0.25">
      <c r="A675"/>
      <c r="B675"/>
      <c r="C675"/>
      <c r="D675" s="1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1:20" ht="15.75" x14ac:dyDescent="0.25">
      <c r="A676"/>
      <c r="B676"/>
      <c r="C676"/>
      <c r="D676" s="15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1:20" ht="15.75" x14ac:dyDescent="0.25">
      <c r="A677"/>
      <c r="B677"/>
      <c r="C677"/>
      <c r="D677" s="15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1:20" ht="15.75" x14ac:dyDescent="0.25">
      <c r="A678"/>
      <c r="B678"/>
      <c r="C678"/>
      <c r="D678" s="15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1:20" ht="15.75" x14ac:dyDescent="0.25">
      <c r="A679"/>
      <c r="B679"/>
      <c r="C679"/>
      <c r="D679" s="15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1:20" ht="15.75" x14ac:dyDescent="0.25">
      <c r="A680"/>
      <c r="B680"/>
      <c r="C680"/>
      <c r="D680" s="15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1:20" ht="15.75" x14ac:dyDescent="0.25">
      <c r="A681"/>
      <c r="B681"/>
      <c r="C681"/>
      <c r="D681" s="15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1:20" ht="15.75" x14ac:dyDescent="0.25">
      <c r="A682"/>
      <c r="B682"/>
      <c r="C682"/>
      <c r="D682" s="15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 spans="1:20" ht="15.75" x14ac:dyDescent="0.25">
      <c r="A683"/>
      <c r="B683"/>
      <c r="C683"/>
      <c r="D683" s="15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1:20" ht="15.75" x14ac:dyDescent="0.25">
      <c r="A684"/>
      <c r="B684"/>
      <c r="C684"/>
      <c r="D684" s="15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1:20" ht="15.75" x14ac:dyDescent="0.25">
      <c r="A685"/>
      <c r="B685"/>
      <c r="C685"/>
      <c r="D685" s="1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1:20" ht="15.75" x14ac:dyDescent="0.25">
      <c r="A686"/>
      <c r="B686"/>
      <c r="C686"/>
      <c r="D686" s="15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1:20" ht="15.75" x14ac:dyDescent="0.25">
      <c r="A687"/>
      <c r="B687"/>
      <c r="C687"/>
      <c r="D687" s="15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 spans="1:20" ht="15.75" x14ac:dyDescent="0.25">
      <c r="A688"/>
      <c r="B688"/>
      <c r="C688"/>
      <c r="D688" s="15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1:20" ht="15.75" x14ac:dyDescent="0.25">
      <c r="A689"/>
      <c r="B689"/>
      <c r="C689"/>
      <c r="D689" s="15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1:20" ht="15.75" x14ac:dyDescent="0.25">
      <c r="A690"/>
      <c r="B690"/>
      <c r="C690"/>
      <c r="D690" s="15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1:20" ht="15.75" x14ac:dyDescent="0.25">
      <c r="A691"/>
      <c r="B691"/>
      <c r="C691"/>
      <c r="D691" s="15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1:20" ht="15.75" x14ac:dyDescent="0.25">
      <c r="A692"/>
      <c r="B692"/>
      <c r="C692"/>
      <c r="D692" s="15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 spans="1:20" ht="15.75" x14ac:dyDescent="0.25">
      <c r="A693"/>
      <c r="B693"/>
      <c r="C693"/>
      <c r="D693" s="15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1:20" ht="15.75" x14ac:dyDescent="0.25">
      <c r="A694"/>
      <c r="B694"/>
      <c r="C694"/>
      <c r="D694" s="15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1:20" ht="15.75" x14ac:dyDescent="0.25">
      <c r="A695"/>
      <c r="B695"/>
      <c r="C695"/>
      <c r="D695" s="1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1:20" ht="15.75" x14ac:dyDescent="0.25">
      <c r="A696"/>
      <c r="B696"/>
      <c r="C696"/>
      <c r="D696" s="15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1:20" ht="15.75" x14ac:dyDescent="0.25">
      <c r="A697"/>
      <c r="B697"/>
      <c r="C697"/>
      <c r="D697" s="15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1:20" ht="15.75" x14ac:dyDescent="0.25">
      <c r="A698"/>
      <c r="B698"/>
      <c r="C698"/>
      <c r="D698" s="15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1:20" ht="15.75" x14ac:dyDescent="0.25">
      <c r="A699"/>
      <c r="B699"/>
      <c r="C699"/>
      <c r="D699" s="15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1:20" ht="15.75" x14ac:dyDescent="0.25">
      <c r="A700"/>
      <c r="B700"/>
      <c r="C700"/>
      <c r="D700" s="15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1:20" ht="15.75" x14ac:dyDescent="0.25">
      <c r="A701"/>
      <c r="B701"/>
      <c r="C701"/>
      <c r="D701" s="15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1:20" ht="15.75" x14ac:dyDescent="0.25">
      <c r="A702"/>
      <c r="B702"/>
      <c r="C702"/>
      <c r="D702" s="15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1:20" ht="15.75" x14ac:dyDescent="0.25">
      <c r="A703"/>
      <c r="B703"/>
      <c r="C703"/>
      <c r="D703" s="15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1:20" ht="15.75" x14ac:dyDescent="0.25">
      <c r="A704"/>
      <c r="B704"/>
      <c r="C704"/>
      <c r="D704" s="15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1:20" ht="15.75" x14ac:dyDescent="0.25">
      <c r="A705"/>
      <c r="B705"/>
      <c r="C705"/>
      <c r="D705" s="1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 spans="1:20" ht="15.75" x14ac:dyDescent="0.25">
      <c r="A706"/>
      <c r="B706"/>
      <c r="C706"/>
      <c r="D706" s="15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1:20" ht="15.75" x14ac:dyDescent="0.25">
      <c r="A707"/>
      <c r="B707"/>
      <c r="C707"/>
      <c r="D707" s="15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1:20" ht="15.75" x14ac:dyDescent="0.25">
      <c r="A708"/>
      <c r="B708"/>
      <c r="C708"/>
      <c r="D708" s="15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1:20" ht="15.75" x14ac:dyDescent="0.25">
      <c r="A709"/>
      <c r="B709"/>
      <c r="C709"/>
      <c r="D709" s="15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1:20" ht="15.75" x14ac:dyDescent="0.25">
      <c r="A710"/>
      <c r="B710"/>
      <c r="C710"/>
      <c r="D710" s="15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1:20" ht="15.75" x14ac:dyDescent="0.25">
      <c r="A711"/>
      <c r="B711"/>
      <c r="C711"/>
      <c r="D711" s="15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1:20" ht="15.75" x14ac:dyDescent="0.25">
      <c r="A712"/>
      <c r="B712"/>
      <c r="C712"/>
      <c r="D712" s="15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1:20" ht="15.75" x14ac:dyDescent="0.25">
      <c r="A713"/>
      <c r="B713"/>
      <c r="C713"/>
      <c r="D713" s="15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1:20" ht="15.75" x14ac:dyDescent="0.25">
      <c r="A714"/>
      <c r="B714"/>
      <c r="C714"/>
      <c r="D714" s="15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1:20" ht="15.75" x14ac:dyDescent="0.25">
      <c r="A715"/>
      <c r="B715"/>
      <c r="C715"/>
      <c r="D715" s="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1:20" ht="15.75" x14ac:dyDescent="0.25">
      <c r="A716"/>
      <c r="B716"/>
      <c r="C716"/>
      <c r="D716" s="15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1:20" ht="15.75" x14ac:dyDescent="0.25">
      <c r="A717"/>
      <c r="B717"/>
      <c r="C717"/>
      <c r="D717" s="15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1:20" ht="15.75" x14ac:dyDescent="0.25">
      <c r="A718"/>
      <c r="B718"/>
      <c r="C718"/>
      <c r="D718" s="15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</row>
    <row r="719" spans="1:20" ht="15.75" x14ac:dyDescent="0.25">
      <c r="A719"/>
      <c r="B719"/>
      <c r="C719"/>
      <c r="D719" s="15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1:20" ht="15.75" x14ac:dyDescent="0.25">
      <c r="A720"/>
      <c r="B720"/>
      <c r="C720"/>
      <c r="D720" s="15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1:20" ht="15.75" x14ac:dyDescent="0.25">
      <c r="A721"/>
      <c r="B721"/>
      <c r="C721"/>
      <c r="D721" s="15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1:20" ht="15.75" x14ac:dyDescent="0.25">
      <c r="A722"/>
      <c r="B722"/>
      <c r="C722"/>
      <c r="D722" s="15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1:20" ht="15.75" x14ac:dyDescent="0.25">
      <c r="A723"/>
      <c r="B723"/>
      <c r="C723"/>
      <c r="D723" s="15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1:20" ht="15.75" x14ac:dyDescent="0.25">
      <c r="A724"/>
      <c r="B724"/>
      <c r="C724"/>
      <c r="D724" s="15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1:20" ht="15.75" x14ac:dyDescent="0.25">
      <c r="A725"/>
      <c r="B725"/>
      <c r="C725"/>
      <c r="D725" s="1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1:20" ht="15.75" x14ac:dyDescent="0.25">
      <c r="A726"/>
      <c r="B726"/>
      <c r="C726"/>
      <c r="D726" s="15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1:20" ht="15.75" x14ac:dyDescent="0.25">
      <c r="A727"/>
      <c r="B727"/>
      <c r="C727"/>
      <c r="D727" s="15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1:20" ht="15.75" x14ac:dyDescent="0.25">
      <c r="A728"/>
      <c r="B728"/>
      <c r="C728"/>
      <c r="D728" s="15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</row>
    <row r="729" spans="1:20" ht="15.75" x14ac:dyDescent="0.25">
      <c r="A729"/>
      <c r="B729"/>
      <c r="C729"/>
      <c r="D729" s="15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1:20" ht="15.75" x14ac:dyDescent="0.25">
      <c r="A730"/>
      <c r="B730"/>
      <c r="C730"/>
      <c r="D730" s="15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1:20" ht="15.75" x14ac:dyDescent="0.25">
      <c r="A731"/>
      <c r="B731"/>
      <c r="C731"/>
      <c r="D731" s="15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1:20" ht="15.75" x14ac:dyDescent="0.25">
      <c r="A732"/>
      <c r="B732"/>
      <c r="C732"/>
      <c r="D732" s="15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1:20" ht="15.75" x14ac:dyDescent="0.25">
      <c r="A733"/>
      <c r="B733"/>
      <c r="C733"/>
      <c r="D733" s="15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1:20" ht="15.75" x14ac:dyDescent="0.25">
      <c r="A734"/>
      <c r="B734"/>
      <c r="C734"/>
      <c r="D734" s="15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1:20" ht="15.75" x14ac:dyDescent="0.25">
      <c r="A735"/>
      <c r="B735"/>
      <c r="C735"/>
      <c r="D735" s="1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1:20" ht="15.75" x14ac:dyDescent="0.25">
      <c r="A736"/>
      <c r="B736"/>
      <c r="C736"/>
      <c r="D736" s="15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1:20" ht="15.75" x14ac:dyDescent="0.25">
      <c r="A737"/>
      <c r="B737"/>
      <c r="C737"/>
      <c r="D737" s="15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 spans="1:20" ht="15.75" x14ac:dyDescent="0.25">
      <c r="A738"/>
      <c r="B738"/>
      <c r="C738"/>
      <c r="D738" s="15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1:20" ht="15.75" x14ac:dyDescent="0.25">
      <c r="A739"/>
      <c r="B739"/>
      <c r="C739"/>
      <c r="D739" s="15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1:20" ht="15.75" x14ac:dyDescent="0.25">
      <c r="A740"/>
      <c r="B740"/>
      <c r="C740"/>
      <c r="D740" s="15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1:20" ht="15.75" x14ac:dyDescent="0.25">
      <c r="A741"/>
      <c r="B741"/>
      <c r="C741"/>
      <c r="D741" s="15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1:20" ht="15.75" x14ac:dyDescent="0.25">
      <c r="A742"/>
      <c r="B742"/>
      <c r="C742"/>
      <c r="D742" s="15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1:20" ht="15.75" x14ac:dyDescent="0.25">
      <c r="A743"/>
      <c r="B743"/>
      <c r="C743"/>
      <c r="D743" s="15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1:20" ht="15.75" x14ac:dyDescent="0.25">
      <c r="A744"/>
      <c r="B744"/>
      <c r="C744"/>
      <c r="D744" s="15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1:20" ht="15.75" x14ac:dyDescent="0.25">
      <c r="A745"/>
      <c r="B745"/>
      <c r="C745"/>
      <c r="D745" s="1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1:20" ht="15.75" x14ac:dyDescent="0.25">
      <c r="A746"/>
      <c r="B746"/>
      <c r="C746"/>
      <c r="D746" s="15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1:20" ht="15.75" x14ac:dyDescent="0.25">
      <c r="A747"/>
      <c r="B747"/>
      <c r="C747"/>
      <c r="D747" s="15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1:20" ht="15.75" x14ac:dyDescent="0.25">
      <c r="A748"/>
      <c r="B748"/>
      <c r="C748"/>
      <c r="D748" s="15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</row>
    <row r="749" spans="1:20" ht="15.75" x14ac:dyDescent="0.25">
      <c r="A749"/>
      <c r="B749"/>
      <c r="C749"/>
      <c r="D749" s="15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1:20" ht="15.75" x14ac:dyDescent="0.25">
      <c r="A750"/>
      <c r="B750"/>
      <c r="C750"/>
      <c r="D750" s="15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1:20" ht="15.75" x14ac:dyDescent="0.25">
      <c r="A751"/>
      <c r="B751"/>
      <c r="C751"/>
      <c r="D751" s="15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1:20" ht="15.75" x14ac:dyDescent="0.25">
      <c r="A752"/>
      <c r="B752"/>
      <c r="C752"/>
      <c r="D752" s="15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1:20" ht="15.75" x14ac:dyDescent="0.25">
      <c r="A753"/>
      <c r="B753"/>
      <c r="C753"/>
      <c r="D753" s="15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1:20" ht="15.75" x14ac:dyDescent="0.25">
      <c r="A754"/>
      <c r="B754"/>
      <c r="C754"/>
      <c r="D754" s="15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1:20" ht="15.75" x14ac:dyDescent="0.25">
      <c r="A755"/>
      <c r="B755"/>
      <c r="C755"/>
      <c r="D755" s="1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1:20" ht="15.75" x14ac:dyDescent="0.25">
      <c r="A756"/>
      <c r="B756"/>
      <c r="C756"/>
      <c r="D756" s="15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1:20" ht="15.75" x14ac:dyDescent="0.25">
      <c r="A757"/>
      <c r="B757"/>
      <c r="C757"/>
      <c r="D757" s="15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1:20" ht="15.75" x14ac:dyDescent="0.25">
      <c r="A758"/>
      <c r="B758"/>
      <c r="C758"/>
      <c r="D758" s="15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 spans="1:20" ht="15.75" x14ac:dyDescent="0.25">
      <c r="A759"/>
      <c r="B759"/>
      <c r="C759"/>
      <c r="D759" s="15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1:20" ht="15.75" x14ac:dyDescent="0.25">
      <c r="A760"/>
      <c r="B760"/>
      <c r="C760"/>
      <c r="D760" s="15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1:20" ht="15.75" x14ac:dyDescent="0.25">
      <c r="A761"/>
      <c r="B761"/>
      <c r="C761"/>
      <c r="D761" s="15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1:20" ht="15.75" x14ac:dyDescent="0.25">
      <c r="A762"/>
      <c r="B762"/>
      <c r="C762"/>
      <c r="D762" s="15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1:20" ht="15.75" x14ac:dyDescent="0.25">
      <c r="A763"/>
      <c r="B763"/>
      <c r="C763"/>
      <c r="D763" s="15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1:20" ht="15.75" x14ac:dyDescent="0.25">
      <c r="A764"/>
      <c r="B764"/>
      <c r="C764"/>
      <c r="D764" s="15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1:20" ht="15.75" x14ac:dyDescent="0.25">
      <c r="A765"/>
      <c r="B765"/>
      <c r="C765"/>
      <c r="D765" s="1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1:20" ht="15.75" x14ac:dyDescent="0.25">
      <c r="A766"/>
      <c r="B766"/>
      <c r="C766"/>
      <c r="D766" s="15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1:20" ht="15.75" x14ac:dyDescent="0.25">
      <c r="A767"/>
      <c r="B767"/>
      <c r="C767"/>
      <c r="D767" s="15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1:20" ht="15.75" x14ac:dyDescent="0.25">
      <c r="A768"/>
      <c r="B768"/>
      <c r="C768"/>
      <c r="D768" s="15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1:20" ht="15.75" x14ac:dyDescent="0.25">
      <c r="A769"/>
      <c r="B769"/>
      <c r="C769"/>
      <c r="D769" s="15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 spans="1:20" ht="15.75" x14ac:dyDescent="0.25">
      <c r="A770"/>
      <c r="B770"/>
      <c r="C770"/>
      <c r="D770" s="15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1:20" ht="15.75" x14ac:dyDescent="0.25">
      <c r="A771"/>
      <c r="B771"/>
      <c r="C771"/>
      <c r="D771" s="15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1:20" ht="15.75" x14ac:dyDescent="0.25">
      <c r="A772"/>
      <c r="B772"/>
      <c r="C772"/>
      <c r="D772" s="15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1:20" ht="15.75" x14ac:dyDescent="0.25">
      <c r="A773"/>
      <c r="B773"/>
      <c r="C773"/>
      <c r="D773" s="15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1:20" ht="15.75" x14ac:dyDescent="0.25">
      <c r="A774"/>
      <c r="B774"/>
      <c r="C774"/>
      <c r="D774" s="15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1:20" ht="15.75" x14ac:dyDescent="0.25">
      <c r="A775"/>
      <c r="B775"/>
      <c r="C775"/>
      <c r="D775" s="1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 spans="1:20" ht="15.75" x14ac:dyDescent="0.25">
      <c r="A776"/>
      <c r="B776"/>
      <c r="C776"/>
      <c r="D776" s="15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1:20" ht="15.75" x14ac:dyDescent="0.25">
      <c r="A777"/>
      <c r="B777"/>
      <c r="C777"/>
      <c r="D777" s="15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 spans="1:20" ht="15.75" x14ac:dyDescent="0.25">
      <c r="A778"/>
      <c r="B778"/>
      <c r="C778"/>
      <c r="D778" s="15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 spans="1:20" ht="15.75" x14ac:dyDescent="0.25">
      <c r="A779"/>
      <c r="B779"/>
      <c r="C779"/>
      <c r="D779" s="15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1:20" ht="15.75" x14ac:dyDescent="0.25">
      <c r="A780"/>
      <c r="B780"/>
      <c r="C780"/>
      <c r="D780" s="15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 spans="1:20" ht="15.75" x14ac:dyDescent="0.25">
      <c r="A781"/>
      <c r="B781"/>
      <c r="C781"/>
      <c r="D781" s="15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</row>
    <row r="782" spans="1:20" ht="15.75" x14ac:dyDescent="0.25">
      <c r="A782"/>
      <c r="B782"/>
      <c r="C782"/>
      <c r="D782" s="15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</row>
    <row r="783" spans="1:20" ht="15.75" x14ac:dyDescent="0.25">
      <c r="A783"/>
      <c r="B783"/>
      <c r="C783"/>
      <c r="D783" s="15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</row>
    <row r="784" spans="1:20" ht="15.75" x14ac:dyDescent="0.25">
      <c r="A784"/>
      <c r="B784"/>
      <c r="C784"/>
      <c r="D784" s="15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 spans="1:20" ht="15.75" x14ac:dyDescent="0.25">
      <c r="A785"/>
      <c r="B785"/>
      <c r="C785"/>
      <c r="D785" s="1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 spans="1:20" ht="15.75" x14ac:dyDescent="0.25">
      <c r="A786"/>
      <c r="B786"/>
      <c r="C786"/>
      <c r="D786" s="15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 spans="1:20" ht="15.75" x14ac:dyDescent="0.25">
      <c r="A787"/>
      <c r="B787"/>
      <c r="C787"/>
      <c r="D787" s="15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</row>
    <row r="788" spans="1:20" ht="15.75" x14ac:dyDescent="0.25">
      <c r="A788"/>
      <c r="B788"/>
      <c r="C788"/>
      <c r="D788" s="15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</row>
    <row r="789" spans="1:20" ht="15.75" x14ac:dyDescent="0.25">
      <c r="A789"/>
      <c r="B789"/>
      <c r="C789"/>
      <c r="D789" s="15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</row>
    <row r="790" spans="1:20" ht="15.75" x14ac:dyDescent="0.25">
      <c r="A790"/>
      <c r="B790"/>
      <c r="C790"/>
      <c r="D790" s="15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</row>
    <row r="791" spans="1:20" ht="15.75" x14ac:dyDescent="0.25">
      <c r="A791"/>
      <c r="B791"/>
      <c r="C791"/>
      <c r="D791" s="15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</row>
    <row r="792" spans="1:20" ht="15.75" x14ac:dyDescent="0.25">
      <c r="A792"/>
      <c r="B792"/>
      <c r="C792"/>
      <c r="D792" s="15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</row>
    <row r="793" spans="1:20" ht="15.75" x14ac:dyDescent="0.25">
      <c r="A793"/>
      <c r="B793"/>
      <c r="C793"/>
      <c r="D793" s="15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</row>
    <row r="794" spans="1:20" ht="15.75" x14ac:dyDescent="0.25">
      <c r="A794"/>
      <c r="B794"/>
      <c r="C794"/>
      <c r="D794" s="15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</row>
    <row r="795" spans="1:20" ht="15.75" x14ac:dyDescent="0.25">
      <c r="A795"/>
      <c r="B795"/>
      <c r="C795"/>
      <c r="D795" s="1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1:20" ht="15.75" x14ac:dyDescent="0.25">
      <c r="A796"/>
      <c r="B796"/>
      <c r="C796"/>
      <c r="D796" s="15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1:20" ht="15.75" x14ac:dyDescent="0.25">
      <c r="A797"/>
      <c r="B797"/>
      <c r="C797"/>
      <c r="D797" s="15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1:20" ht="15.75" x14ac:dyDescent="0.25">
      <c r="A798"/>
      <c r="B798"/>
      <c r="C798"/>
      <c r="D798" s="15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1:20" ht="15.75" x14ac:dyDescent="0.25">
      <c r="A799"/>
      <c r="B799"/>
      <c r="C799"/>
      <c r="D799" s="15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1:20" ht="15.75" x14ac:dyDescent="0.25">
      <c r="A800"/>
      <c r="B800"/>
      <c r="C800"/>
      <c r="D800" s="15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1:20" ht="15.75" x14ac:dyDescent="0.25">
      <c r="A801"/>
      <c r="B801"/>
      <c r="C801"/>
      <c r="D801" s="15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1:20" ht="15.75" x14ac:dyDescent="0.25">
      <c r="A802"/>
      <c r="B802"/>
      <c r="C802"/>
      <c r="D802" s="15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1:20" ht="15.75" x14ac:dyDescent="0.25">
      <c r="A803"/>
      <c r="B803"/>
      <c r="C803"/>
      <c r="D803" s="15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1:20" ht="15.75" x14ac:dyDescent="0.25">
      <c r="A804"/>
      <c r="B804"/>
      <c r="C804"/>
      <c r="D804" s="15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1:20" ht="15.75" x14ac:dyDescent="0.25">
      <c r="A805"/>
      <c r="B805"/>
      <c r="C805"/>
      <c r="D805" s="1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1:20" ht="15.75" x14ac:dyDescent="0.25">
      <c r="A806"/>
      <c r="B806"/>
      <c r="C806"/>
      <c r="D806" s="15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1:20" ht="15.75" x14ac:dyDescent="0.25">
      <c r="A807"/>
      <c r="B807"/>
      <c r="C807"/>
      <c r="D807" s="15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1:20" ht="15.75" x14ac:dyDescent="0.25">
      <c r="A808"/>
      <c r="B808"/>
      <c r="C808"/>
      <c r="D808" s="15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1:20" ht="15.75" x14ac:dyDescent="0.25">
      <c r="A809"/>
      <c r="B809"/>
      <c r="C809"/>
      <c r="D809" s="15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1:20" ht="15.75" x14ac:dyDescent="0.25">
      <c r="A810"/>
      <c r="B810"/>
      <c r="C810"/>
      <c r="D810" s="15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1:20" ht="15.75" x14ac:dyDescent="0.25">
      <c r="A811"/>
      <c r="B811"/>
      <c r="C811"/>
      <c r="D811" s="15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1:20" ht="15.75" x14ac:dyDescent="0.25">
      <c r="A812"/>
      <c r="B812"/>
      <c r="C812"/>
      <c r="D812" s="15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1:20" ht="15.75" x14ac:dyDescent="0.25">
      <c r="A813"/>
      <c r="B813"/>
      <c r="C813"/>
      <c r="D813" s="15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1:20" ht="15.75" x14ac:dyDescent="0.25">
      <c r="A814"/>
      <c r="B814"/>
      <c r="C814"/>
      <c r="D814" s="15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1:20" ht="15.75" x14ac:dyDescent="0.25">
      <c r="A815"/>
      <c r="B815"/>
      <c r="C815"/>
      <c r="D815" s="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1:20" ht="15.75" x14ac:dyDescent="0.25">
      <c r="A816"/>
      <c r="B816"/>
      <c r="C816"/>
      <c r="D816" s="15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1:20" ht="15.75" x14ac:dyDescent="0.25">
      <c r="A817"/>
      <c r="B817"/>
      <c r="C817"/>
      <c r="D817" s="15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1:20" ht="15.75" x14ac:dyDescent="0.25">
      <c r="A818"/>
      <c r="B818"/>
      <c r="C818"/>
      <c r="D818" s="15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1:20" ht="15.75" x14ac:dyDescent="0.25">
      <c r="A819"/>
      <c r="B819"/>
      <c r="C819"/>
      <c r="D819" s="15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1:20" ht="15.75" x14ac:dyDescent="0.25">
      <c r="A820"/>
      <c r="B820"/>
      <c r="C820"/>
      <c r="D820" s="15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1:20" ht="15.75" x14ac:dyDescent="0.25">
      <c r="A821"/>
      <c r="B821"/>
      <c r="C821"/>
      <c r="D821" s="15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1:20" ht="15.75" x14ac:dyDescent="0.25">
      <c r="A822"/>
      <c r="B822"/>
      <c r="C822"/>
      <c r="D822" s="15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1:20" ht="15.75" x14ac:dyDescent="0.25">
      <c r="A823"/>
      <c r="B823"/>
      <c r="C823"/>
      <c r="D823" s="15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1:20" ht="15.75" x14ac:dyDescent="0.25">
      <c r="A824"/>
      <c r="B824"/>
      <c r="C824"/>
      <c r="D824" s="15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1:20" ht="15.75" x14ac:dyDescent="0.25">
      <c r="A825"/>
      <c r="B825"/>
      <c r="C825"/>
      <c r="D825" s="1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1:20" ht="15.75" x14ac:dyDescent="0.25">
      <c r="A826"/>
      <c r="B826"/>
      <c r="C826"/>
      <c r="D826" s="15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1:20" ht="15.75" x14ac:dyDescent="0.25">
      <c r="A827"/>
      <c r="B827"/>
      <c r="C827"/>
      <c r="D827" s="15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1:20" ht="15.75" x14ac:dyDescent="0.25">
      <c r="A828"/>
      <c r="B828"/>
      <c r="C828"/>
      <c r="D828" s="15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1:20" ht="15.75" x14ac:dyDescent="0.25">
      <c r="A829"/>
      <c r="B829"/>
      <c r="C829"/>
      <c r="D829" s="15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1:20" ht="15.75" x14ac:dyDescent="0.25">
      <c r="A830"/>
      <c r="B830"/>
      <c r="C830"/>
      <c r="D830" s="15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1:20" ht="15.75" x14ac:dyDescent="0.25">
      <c r="A831"/>
      <c r="B831"/>
      <c r="C831"/>
      <c r="D831" s="15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1:20" ht="15.75" x14ac:dyDescent="0.25">
      <c r="A832"/>
      <c r="B832"/>
      <c r="C832"/>
      <c r="D832" s="15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1:20" ht="15.75" x14ac:dyDescent="0.25">
      <c r="A833"/>
      <c r="B833"/>
      <c r="C833"/>
      <c r="D833" s="15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1:20" ht="15.75" x14ac:dyDescent="0.25">
      <c r="A834"/>
      <c r="B834"/>
      <c r="C834"/>
      <c r="D834" s="15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1:20" ht="15.75" x14ac:dyDescent="0.25">
      <c r="A835"/>
      <c r="B835"/>
      <c r="C835"/>
      <c r="D835" s="1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1:20" ht="15.75" x14ac:dyDescent="0.25">
      <c r="A836"/>
      <c r="B836"/>
      <c r="C836"/>
      <c r="D836" s="15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1:20" ht="15.75" x14ac:dyDescent="0.25">
      <c r="A837"/>
      <c r="B837"/>
      <c r="C837"/>
      <c r="D837" s="15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1:20" ht="15.75" x14ac:dyDescent="0.25">
      <c r="A838"/>
      <c r="B838"/>
      <c r="C838"/>
      <c r="D838" s="15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1:20" ht="15.75" x14ac:dyDescent="0.25">
      <c r="A839"/>
      <c r="B839"/>
      <c r="C839"/>
      <c r="D839" s="15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1:20" ht="15.75" x14ac:dyDescent="0.25">
      <c r="A840"/>
      <c r="B840"/>
      <c r="C840"/>
      <c r="D840" s="15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1:20" ht="15.75" x14ac:dyDescent="0.25">
      <c r="A841"/>
      <c r="B841"/>
      <c r="C841"/>
      <c r="D841" s="15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1:20" ht="15.75" x14ac:dyDescent="0.25">
      <c r="A842"/>
      <c r="B842"/>
      <c r="C842"/>
      <c r="D842" s="15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1:20" ht="15.75" x14ac:dyDescent="0.25">
      <c r="A843"/>
      <c r="B843"/>
      <c r="C843"/>
      <c r="D843" s="15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1:20" ht="15.75" x14ac:dyDescent="0.25">
      <c r="A844"/>
      <c r="B844"/>
      <c r="C844"/>
      <c r="D844" s="15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1:20" ht="15.75" x14ac:dyDescent="0.25">
      <c r="A845"/>
      <c r="B845"/>
      <c r="C845"/>
      <c r="D845" s="1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1:20" ht="15.75" x14ac:dyDescent="0.25">
      <c r="A846"/>
      <c r="B846"/>
      <c r="C846"/>
      <c r="D846" s="15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1:20" ht="15.75" x14ac:dyDescent="0.25">
      <c r="A847"/>
      <c r="B847"/>
      <c r="C847"/>
      <c r="D847" s="15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1:20" ht="15.75" x14ac:dyDescent="0.25">
      <c r="A848"/>
      <c r="B848"/>
      <c r="C848"/>
      <c r="D848" s="15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1:20" ht="15.75" x14ac:dyDescent="0.25">
      <c r="A849"/>
      <c r="B849"/>
      <c r="C849"/>
      <c r="D849" s="15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1:20" ht="15.75" x14ac:dyDescent="0.25">
      <c r="A850"/>
      <c r="B850"/>
      <c r="C850"/>
      <c r="D850" s="15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1:20" ht="15.75" x14ac:dyDescent="0.25">
      <c r="A851"/>
      <c r="B851"/>
      <c r="C851"/>
      <c r="D851" s="15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1:20" ht="15.75" x14ac:dyDescent="0.25">
      <c r="A852"/>
      <c r="B852"/>
      <c r="C852"/>
      <c r="D852" s="15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1:20" ht="15.75" x14ac:dyDescent="0.25">
      <c r="A853"/>
      <c r="B853"/>
      <c r="C853"/>
      <c r="D853" s="15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1:20" ht="15.75" x14ac:dyDescent="0.25">
      <c r="A854"/>
      <c r="B854"/>
      <c r="C854"/>
      <c r="D854" s="15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1:20" ht="15.75" x14ac:dyDescent="0.25">
      <c r="A855"/>
      <c r="B855"/>
      <c r="C855"/>
      <c r="D855" s="1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1:20" ht="15.75" x14ac:dyDescent="0.25">
      <c r="A856"/>
      <c r="B856"/>
      <c r="C856"/>
      <c r="D856" s="15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1:20" ht="15.75" x14ac:dyDescent="0.25">
      <c r="A857"/>
      <c r="B857"/>
      <c r="C857"/>
      <c r="D857" s="15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1:20" ht="15.75" x14ac:dyDescent="0.25">
      <c r="A858"/>
      <c r="B858"/>
      <c r="C858"/>
      <c r="D858" s="15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1:20" ht="15.75" x14ac:dyDescent="0.25">
      <c r="A859"/>
      <c r="B859"/>
      <c r="C859"/>
      <c r="D859" s="15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1:20" ht="15.75" x14ac:dyDescent="0.25">
      <c r="A860"/>
      <c r="B860"/>
      <c r="C860"/>
      <c r="D860" s="15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1:20" ht="15.75" x14ac:dyDescent="0.25">
      <c r="A861"/>
      <c r="B861"/>
      <c r="C861"/>
      <c r="D861" s="15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1:20" ht="15.75" x14ac:dyDescent="0.25">
      <c r="A862"/>
      <c r="B862"/>
      <c r="C862"/>
      <c r="D862" s="15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1:20" ht="15.75" x14ac:dyDescent="0.25">
      <c r="A863"/>
      <c r="B863"/>
      <c r="C863"/>
      <c r="D863" s="15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1:20" ht="15.75" x14ac:dyDescent="0.25">
      <c r="A864"/>
      <c r="B864"/>
      <c r="C864"/>
      <c r="D864" s="15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1:20" ht="15.75" x14ac:dyDescent="0.25">
      <c r="A865"/>
      <c r="B865"/>
      <c r="C865"/>
      <c r="D865" s="1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1:20" ht="15.75" x14ac:dyDescent="0.25">
      <c r="A866"/>
      <c r="B866"/>
      <c r="C866"/>
      <c r="D866" s="15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1:20" ht="15.75" x14ac:dyDescent="0.25">
      <c r="A867"/>
      <c r="B867"/>
      <c r="C867"/>
      <c r="D867" s="15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1:20" ht="15.75" x14ac:dyDescent="0.25">
      <c r="A868"/>
      <c r="B868"/>
      <c r="C868"/>
      <c r="D868" s="15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1:20" ht="15.75" x14ac:dyDescent="0.25">
      <c r="A869"/>
      <c r="B869"/>
      <c r="C869"/>
      <c r="D869" s="15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1:20" ht="15.75" x14ac:dyDescent="0.25">
      <c r="A870"/>
      <c r="B870"/>
      <c r="C870"/>
      <c r="D870" s="15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1:20" ht="15.75" x14ac:dyDescent="0.25">
      <c r="A871"/>
      <c r="B871"/>
      <c r="C871"/>
      <c r="D871" s="15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1:20" ht="15.75" x14ac:dyDescent="0.25">
      <c r="A872"/>
      <c r="B872"/>
      <c r="C872"/>
      <c r="D872" s="15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1:20" ht="15.75" x14ac:dyDescent="0.25">
      <c r="A873"/>
      <c r="B873"/>
      <c r="C873"/>
      <c r="D873" s="15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1:20" ht="15.75" x14ac:dyDescent="0.25">
      <c r="A874"/>
      <c r="B874"/>
      <c r="C874"/>
      <c r="D874" s="15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1:20" ht="15.75" x14ac:dyDescent="0.25">
      <c r="A875"/>
      <c r="B875"/>
      <c r="C875"/>
      <c r="D875" s="1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1:20" ht="15.75" x14ac:dyDescent="0.25">
      <c r="A876"/>
      <c r="B876"/>
      <c r="C876"/>
      <c r="D876" s="15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1:20" ht="15.75" x14ac:dyDescent="0.25">
      <c r="A877"/>
      <c r="B877"/>
      <c r="C877"/>
      <c r="D877" s="15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1:20" ht="15.75" x14ac:dyDescent="0.25">
      <c r="A878"/>
      <c r="B878"/>
      <c r="C878"/>
      <c r="D878" s="15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1:20" ht="15.75" x14ac:dyDescent="0.25">
      <c r="A879"/>
      <c r="B879"/>
      <c r="C879"/>
      <c r="D879" s="15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1:20" ht="15.75" x14ac:dyDescent="0.25">
      <c r="A880"/>
      <c r="B880"/>
      <c r="C880"/>
      <c r="D880" s="15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1:20" ht="15.75" x14ac:dyDescent="0.25">
      <c r="A881"/>
      <c r="B881"/>
      <c r="C881"/>
      <c r="D881" s="15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1:20" ht="15.75" x14ac:dyDescent="0.25">
      <c r="A882"/>
      <c r="B882"/>
      <c r="C882"/>
      <c r="D882" s="15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1:20" ht="15.75" x14ac:dyDescent="0.25">
      <c r="A883"/>
      <c r="B883"/>
      <c r="C883"/>
      <c r="D883" s="15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1:20" ht="15.75" x14ac:dyDescent="0.25">
      <c r="A884"/>
      <c r="B884"/>
      <c r="C884"/>
      <c r="D884" s="15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1:20" ht="15.75" x14ac:dyDescent="0.25">
      <c r="A885"/>
      <c r="B885"/>
      <c r="C885"/>
      <c r="D885" s="1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1:20" ht="15.75" x14ac:dyDescent="0.25">
      <c r="A886"/>
      <c r="B886"/>
      <c r="C886"/>
      <c r="D886" s="15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1:20" ht="15.75" x14ac:dyDescent="0.25">
      <c r="A887"/>
      <c r="B887"/>
      <c r="C887"/>
      <c r="D887" s="15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1:20" ht="15.75" x14ac:dyDescent="0.25">
      <c r="A888"/>
      <c r="B888"/>
      <c r="C888"/>
      <c r="D888" s="15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1:20" ht="15.75" x14ac:dyDescent="0.25">
      <c r="A889"/>
      <c r="B889"/>
      <c r="C889"/>
      <c r="D889" s="15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1:20" ht="15.75" x14ac:dyDescent="0.25">
      <c r="A890"/>
      <c r="B890"/>
      <c r="C890"/>
      <c r="D890" s="15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1:20" ht="15.75" x14ac:dyDescent="0.25">
      <c r="A891"/>
      <c r="B891"/>
      <c r="C891"/>
      <c r="D891" s="15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1:20" ht="15.75" x14ac:dyDescent="0.25">
      <c r="A892"/>
      <c r="B892"/>
      <c r="C892"/>
      <c r="D892" s="15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1:20" ht="15.75" x14ac:dyDescent="0.25">
      <c r="A893"/>
      <c r="B893"/>
      <c r="C893"/>
      <c r="D893" s="15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1:20" ht="15.75" x14ac:dyDescent="0.25">
      <c r="A894"/>
      <c r="B894"/>
      <c r="C894"/>
      <c r="D894" s="15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1:20" ht="15.75" x14ac:dyDescent="0.25">
      <c r="A895"/>
      <c r="B895"/>
      <c r="C895"/>
      <c r="D895" s="1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1:20" ht="15.75" x14ac:dyDescent="0.25">
      <c r="A896"/>
      <c r="B896"/>
      <c r="C896"/>
      <c r="D896" s="15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1:20" ht="15.75" x14ac:dyDescent="0.25">
      <c r="A897"/>
      <c r="B897"/>
      <c r="C897"/>
      <c r="D897" s="15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1:20" ht="15.75" x14ac:dyDescent="0.25">
      <c r="A898"/>
      <c r="B898"/>
      <c r="C898"/>
      <c r="D898" s="15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1:20" ht="15.75" x14ac:dyDescent="0.25">
      <c r="A899"/>
      <c r="B899"/>
      <c r="C899"/>
      <c r="D899" s="15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1:20" ht="15.75" x14ac:dyDescent="0.25">
      <c r="A900"/>
      <c r="B900"/>
      <c r="C900"/>
      <c r="D900" s="15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1:20" ht="15.75" x14ac:dyDescent="0.25">
      <c r="A901"/>
      <c r="B901"/>
      <c r="C901"/>
      <c r="D901" s="15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1:20" ht="15.75" x14ac:dyDescent="0.25">
      <c r="A902"/>
      <c r="B902"/>
      <c r="C902"/>
      <c r="D902" s="15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1:20" ht="15.75" x14ac:dyDescent="0.25">
      <c r="A903"/>
      <c r="B903"/>
      <c r="C903"/>
      <c r="D903" s="15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1:20" ht="15.75" x14ac:dyDescent="0.25">
      <c r="A904"/>
      <c r="B904"/>
      <c r="C904"/>
      <c r="D904" s="15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1:20" ht="15.75" x14ac:dyDescent="0.25">
      <c r="A905"/>
      <c r="B905"/>
      <c r="C905"/>
      <c r="D905" s="1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1:20" ht="15.75" x14ac:dyDescent="0.25">
      <c r="A906"/>
      <c r="B906"/>
      <c r="C906"/>
      <c r="D906" s="15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1:20" ht="15.75" x14ac:dyDescent="0.25">
      <c r="A907"/>
      <c r="B907"/>
      <c r="C907"/>
      <c r="D907" s="15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1:20" ht="15.75" x14ac:dyDescent="0.25">
      <c r="A908"/>
      <c r="B908"/>
      <c r="C908"/>
      <c r="D908" s="15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1:20" ht="15.75" x14ac:dyDescent="0.25">
      <c r="A909"/>
      <c r="B909"/>
      <c r="C909"/>
      <c r="D909" s="15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1:20" ht="15.75" x14ac:dyDescent="0.25">
      <c r="A910"/>
      <c r="B910"/>
      <c r="C910"/>
      <c r="D910" s="15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1:20" ht="15.75" x14ac:dyDescent="0.25">
      <c r="A911"/>
      <c r="B911"/>
      <c r="C911"/>
      <c r="D911" s="15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1:20" ht="15.75" x14ac:dyDescent="0.25">
      <c r="A912"/>
      <c r="B912"/>
      <c r="C912"/>
      <c r="D912" s="15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1:20" ht="15.75" x14ac:dyDescent="0.25">
      <c r="A913"/>
      <c r="B913"/>
      <c r="C913"/>
      <c r="D913" s="15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1:20" ht="15.75" x14ac:dyDescent="0.25">
      <c r="A914"/>
      <c r="B914"/>
      <c r="C914"/>
      <c r="D914" s="15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1:20" ht="15.75" x14ac:dyDescent="0.25">
      <c r="A915"/>
      <c r="B915"/>
      <c r="C915"/>
      <c r="D915" s="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1:20" ht="15.75" x14ac:dyDescent="0.25">
      <c r="A916"/>
      <c r="B916"/>
      <c r="C916"/>
      <c r="D916" s="15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1:20" ht="15.75" x14ac:dyDescent="0.25">
      <c r="A917"/>
      <c r="B917"/>
      <c r="C917"/>
      <c r="D917" s="15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1:20" ht="15.75" x14ac:dyDescent="0.25">
      <c r="A918"/>
      <c r="B918"/>
      <c r="C918"/>
      <c r="D918" s="15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1:20" ht="15.75" x14ac:dyDescent="0.25">
      <c r="A919"/>
      <c r="B919"/>
      <c r="C919"/>
      <c r="D919" s="15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1:20" ht="15.75" x14ac:dyDescent="0.25">
      <c r="A920"/>
      <c r="B920"/>
      <c r="C920"/>
      <c r="D920" s="15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1:20" ht="15.75" x14ac:dyDescent="0.25">
      <c r="A921"/>
      <c r="B921"/>
      <c r="C921"/>
      <c r="D921" s="15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1:20" ht="15.75" x14ac:dyDescent="0.25">
      <c r="A922"/>
      <c r="B922"/>
      <c r="C922"/>
      <c r="D922" s="15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1:20" ht="15.75" x14ac:dyDescent="0.25">
      <c r="A923"/>
      <c r="B923"/>
      <c r="C923"/>
      <c r="D923" s="15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1:20" ht="15.75" x14ac:dyDescent="0.25">
      <c r="A924"/>
      <c r="B924"/>
      <c r="C924"/>
      <c r="D924" s="15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1:20" ht="15.75" x14ac:dyDescent="0.25">
      <c r="A925"/>
      <c r="B925"/>
      <c r="C925"/>
      <c r="D925" s="1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1:20" ht="15.75" x14ac:dyDescent="0.25">
      <c r="A926"/>
      <c r="B926"/>
      <c r="C926"/>
      <c r="D926" s="15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1:20" ht="15.75" x14ac:dyDescent="0.25">
      <c r="A927"/>
      <c r="B927"/>
      <c r="C927"/>
      <c r="D927" s="15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1:20" ht="15.75" x14ac:dyDescent="0.25">
      <c r="A928"/>
      <c r="B928"/>
      <c r="C928"/>
      <c r="D928" s="15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1:20" ht="15.75" x14ac:dyDescent="0.25">
      <c r="A929"/>
      <c r="B929"/>
      <c r="C929"/>
      <c r="D929" s="15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1:20" ht="15.75" x14ac:dyDescent="0.25">
      <c r="A930"/>
      <c r="B930"/>
      <c r="C930"/>
      <c r="D930" s="15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1:20" ht="15.75" x14ac:dyDescent="0.25">
      <c r="A931"/>
      <c r="B931"/>
      <c r="C931"/>
      <c r="D931" s="15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1:20" ht="15.75" x14ac:dyDescent="0.25">
      <c r="A932"/>
      <c r="B932"/>
      <c r="C932"/>
      <c r="D932" s="15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1:20" ht="15.75" x14ac:dyDescent="0.25">
      <c r="A933"/>
      <c r="B933"/>
      <c r="C933"/>
      <c r="D933" s="15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1:20" ht="15.75" x14ac:dyDescent="0.25">
      <c r="A934"/>
      <c r="B934"/>
      <c r="C934"/>
      <c r="D934" s="15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1:20" ht="15.75" x14ac:dyDescent="0.25">
      <c r="A935"/>
      <c r="B935"/>
      <c r="C935"/>
      <c r="D935" s="1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1:20" ht="15.75" x14ac:dyDescent="0.25">
      <c r="A936"/>
      <c r="B936"/>
      <c r="C936"/>
      <c r="D936" s="15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1:20" ht="15.75" x14ac:dyDescent="0.25">
      <c r="A937"/>
      <c r="B937"/>
      <c r="C937"/>
      <c r="D937" s="15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1:20" ht="15.75" x14ac:dyDescent="0.25">
      <c r="A938"/>
      <c r="B938"/>
      <c r="C938"/>
      <c r="D938" s="15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1:20" ht="15.75" x14ac:dyDescent="0.25">
      <c r="A939"/>
      <c r="B939"/>
      <c r="C939"/>
      <c r="D939" s="15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1:20" ht="15.75" x14ac:dyDescent="0.25">
      <c r="A940"/>
      <c r="B940"/>
      <c r="C940"/>
      <c r="D940" s="15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1:20" ht="15.75" x14ac:dyDescent="0.25">
      <c r="A941"/>
      <c r="B941"/>
      <c r="C941"/>
      <c r="D941" s="15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1:20" ht="15.75" x14ac:dyDescent="0.25">
      <c r="A942"/>
      <c r="B942"/>
      <c r="C942"/>
      <c r="D942" s="15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1:20" ht="15.75" x14ac:dyDescent="0.25">
      <c r="A943"/>
      <c r="B943"/>
      <c r="C943"/>
      <c r="D943" s="15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1:20" ht="15.75" x14ac:dyDescent="0.25">
      <c r="A944"/>
      <c r="B944"/>
      <c r="C944"/>
      <c r="D944" s="15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1:20" ht="15.75" x14ac:dyDescent="0.25">
      <c r="A945"/>
      <c r="B945"/>
      <c r="C945"/>
      <c r="D945" s="1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1:20" ht="15.75" x14ac:dyDescent="0.25">
      <c r="A946"/>
      <c r="B946"/>
      <c r="C946"/>
      <c r="D946" s="15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1:20" ht="15.75" x14ac:dyDescent="0.25">
      <c r="A947"/>
      <c r="B947"/>
      <c r="C947"/>
      <c r="D947" s="15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1:20" ht="15.75" x14ac:dyDescent="0.25">
      <c r="A948"/>
      <c r="B948"/>
      <c r="C948"/>
      <c r="D948" s="15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1:20" ht="15.75" x14ac:dyDescent="0.25">
      <c r="A949"/>
      <c r="B949"/>
      <c r="C949"/>
      <c r="D949" s="15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1:20" ht="15.75" x14ac:dyDescent="0.25">
      <c r="A950"/>
      <c r="B950"/>
      <c r="C950"/>
      <c r="D950" s="15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1:20" ht="15.75" x14ac:dyDescent="0.25">
      <c r="A951"/>
      <c r="B951"/>
      <c r="C951"/>
      <c r="D951" s="15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1:20" ht="15.75" x14ac:dyDescent="0.25">
      <c r="A952"/>
      <c r="B952"/>
      <c r="C952"/>
      <c r="D952" s="15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1:20" ht="15.75" x14ac:dyDescent="0.25">
      <c r="A953"/>
      <c r="B953"/>
      <c r="C953"/>
      <c r="D953" s="15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1:20" ht="15.75" x14ac:dyDescent="0.25">
      <c r="A954"/>
      <c r="B954"/>
      <c r="C954"/>
      <c r="D954" s="15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1:20" ht="15.75" x14ac:dyDescent="0.25">
      <c r="A955"/>
      <c r="B955"/>
      <c r="C955"/>
      <c r="D955" s="1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1:20" ht="15.75" x14ac:dyDescent="0.25">
      <c r="A956"/>
      <c r="B956"/>
      <c r="C956"/>
      <c r="D956" s="15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1:20" ht="15.75" x14ac:dyDescent="0.25">
      <c r="A957"/>
      <c r="B957"/>
      <c r="C957"/>
      <c r="D957" s="15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1:20" ht="15.75" x14ac:dyDescent="0.25">
      <c r="A958"/>
      <c r="B958"/>
      <c r="C958"/>
      <c r="D958" s="15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1:20" ht="15.75" x14ac:dyDescent="0.25">
      <c r="A959"/>
      <c r="B959"/>
      <c r="C959"/>
      <c r="D959" s="15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1:20" ht="15.75" x14ac:dyDescent="0.25">
      <c r="A960"/>
      <c r="B960"/>
      <c r="C960"/>
      <c r="D960" s="15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1:20" ht="15.75" x14ac:dyDescent="0.25">
      <c r="A961"/>
      <c r="B961"/>
      <c r="C961"/>
      <c r="D961" s="15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1:20" ht="15.75" x14ac:dyDescent="0.25">
      <c r="A962"/>
      <c r="B962"/>
      <c r="C962"/>
      <c r="D962" s="15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1:20" ht="15.75" x14ac:dyDescent="0.25">
      <c r="A963"/>
      <c r="B963"/>
      <c r="C963"/>
      <c r="D963" s="15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1:20" ht="15.75" x14ac:dyDescent="0.25">
      <c r="A964"/>
      <c r="B964"/>
      <c r="C964"/>
      <c r="D964" s="15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1:20" ht="15.75" x14ac:dyDescent="0.25">
      <c r="A965"/>
      <c r="B965"/>
      <c r="C965"/>
      <c r="D965" s="1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1:20" ht="15.75" x14ac:dyDescent="0.25">
      <c r="A966"/>
      <c r="B966"/>
      <c r="C966"/>
      <c r="D966" s="15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1:20" ht="15.75" x14ac:dyDescent="0.25">
      <c r="A967"/>
      <c r="B967"/>
      <c r="C967"/>
      <c r="D967" s="15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4294967293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D4D3-31AC-474D-A52C-67ED2287EB1C}">
  <sheetPr codeName="Feuil38">
    <pageSetUpPr fitToPage="1"/>
  </sheetPr>
  <dimension ref="A1:W56"/>
  <sheetViews>
    <sheetView view="pageBreakPreview" zoomScale="95" zoomScaleNormal="80" zoomScaleSheetLayoutView="85" workbookViewId="0">
      <selection activeCell="G14" sqref="G14"/>
    </sheetView>
  </sheetViews>
  <sheetFormatPr baseColWidth="10" defaultColWidth="11" defaultRowHeight="12.75" x14ac:dyDescent="0.2"/>
  <cols>
    <col min="1" max="5" width="11" style="12"/>
    <col min="6" max="6" width="11.875" style="12" bestFit="1" customWidth="1"/>
    <col min="7" max="7" width="11.125" style="12" bestFit="1" customWidth="1"/>
    <col min="8" max="261" width="11" style="12"/>
    <col min="262" max="262" width="11.875" style="12" bestFit="1" customWidth="1"/>
    <col min="263" max="263" width="11.125" style="12" bestFit="1" customWidth="1"/>
    <col min="264" max="517" width="11" style="12"/>
    <col min="518" max="518" width="11.875" style="12" bestFit="1" customWidth="1"/>
    <col min="519" max="519" width="11.125" style="12" bestFit="1" customWidth="1"/>
    <col min="520" max="773" width="11" style="12"/>
    <col min="774" max="774" width="11.875" style="12" bestFit="1" customWidth="1"/>
    <col min="775" max="775" width="11.125" style="12" bestFit="1" customWidth="1"/>
    <col min="776" max="1029" width="11" style="12"/>
    <col min="1030" max="1030" width="11.875" style="12" bestFit="1" customWidth="1"/>
    <col min="1031" max="1031" width="11.125" style="12" bestFit="1" customWidth="1"/>
    <col min="1032" max="1285" width="11" style="12"/>
    <col min="1286" max="1286" width="11.875" style="12" bestFit="1" customWidth="1"/>
    <col min="1287" max="1287" width="11.125" style="12" bestFit="1" customWidth="1"/>
    <col min="1288" max="1541" width="11" style="12"/>
    <col min="1542" max="1542" width="11.875" style="12" bestFit="1" customWidth="1"/>
    <col min="1543" max="1543" width="11.125" style="12" bestFit="1" customWidth="1"/>
    <col min="1544" max="1797" width="11" style="12"/>
    <col min="1798" max="1798" width="11.875" style="12" bestFit="1" customWidth="1"/>
    <col min="1799" max="1799" width="11.125" style="12" bestFit="1" customWidth="1"/>
    <col min="1800" max="2053" width="11" style="12"/>
    <col min="2054" max="2054" width="11.875" style="12" bestFit="1" customWidth="1"/>
    <col min="2055" max="2055" width="11.125" style="12" bestFit="1" customWidth="1"/>
    <col min="2056" max="2309" width="11" style="12"/>
    <col min="2310" max="2310" width="11.875" style="12" bestFit="1" customWidth="1"/>
    <col min="2311" max="2311" width="11.125" style="12" bestFit="1" customWidth="1"/>
    <col min="2312" max="2565" width="11" style="12"/>
    <col min="2566" max="2566" width="11.875" style="12" bestFit="1" customWidth="1"/>
    <col min="2567" max="2567" width="11.125" style="12" bestFit="1" customWidth="1"/>
    <col min="2568" max="2821" width="11" style="12"/>
    <col min="2822" max="2822" width="11.875" style="12" bestFit="1" customWidth="1"/>
    <col min="2823" max="2823" width="11.125" style="12" bestFit="1" customWidth="1"/>
    <col min="2824" max="3077" width="11" style="12"/>
    <col min="3078" max="3078" width="11.875" style="12" bestFit="1" customWidth="1"/>
    <col min="3079" max="3079" width="11.125" style="12" bestFit="1" customWidth="1"/>
    <col min="3080" max="3333" width="11" style="12"/>
    <col min="3334" max="3334" width="11.875" style="12" bestFit="1" customWidth="1"/>
    <col min="3335" max="3335" width="11.125" style="12" bestFit="1" customWidth="1"/>
    <col min="3336" max="3589" width="11" style="12"/>
    <col min="3590" max="3590" width="11.875" style="12" bestFit="1" customWidth="1"/>
    <col min="3591" max="3591" width="11.125" style="12" bestFit="1" customWidth="1"/>
    <col min="3592" max="3845" width="11" style="12"/>
    <col min="3846" max="3846" width="11.875" style="12" bestFit="1" customWidth="1"/>
    <col min="3847" max="3847" width="11.125" style="12" bestFit="1" customWidth="1"/>
    <col min="3848" max="4101" width="11" style="12"/>
    <col min="4102" max="4102" width="11.875" style="12" bestFit="1" customWidth="1"/>
    <col min="4103" max="4103" width="11.125" style="12" bestFit="1" customWidth="1"/>
    <col min="4104" max="4357" width="11" style="12"/>
    <col min="4358" max="4358" width="11.875" style="12" bestFit="1" customWidth="1"/>
    <col min="4359" max="4359" width="11.125" style="12" bestFit="1" customWidth="1"/>
    <col min="4360" max="4613" width="11" style="12"/>
    <col min="4614" max="4614" width="11.875" style="12" bestFit="1" customWidth="1"/>
    <col min="4615" max="4615" width="11.125" style="12" bestFit="1" customWidth="1"/>
    <col min="4616" max="4869" width="11" style="12"/>
    <col min="4870" max="4870" width="11.875" style="12" bestFit="1" customWidth="1"/>
    <col min="4871" max="4871" width="11.125" style="12" bestFit="1" customWidth="1"/>
    <col min="4872" max="5125" width="11" style="12"/>
    <col min="5126" max="5126" width="11.875" style="12" bestFit="1" customWidth="1"/>
    <col min="5127" max="5127" width="11.125" style="12" bestFit="1" customWidth="1"/>
    <col min="5128" max="5381" width="11" style="12"/>
    <col min="5382" max="5382" width="11.875" style="12" bestFit="1" customWidth="1"/>
    <col min="5383" max="5383" width="11.125" style="12" bestFit="1" customWidth="1"/>
    <col min="5384" max="5637" width="11" style="12"/>
    <col min="5638" max="5638" width="11.875" style="12" bestFit="1" customWidth="1"/>
    <col min="5639" max="5639" width="11.125" style="12" bestFit="1" customWidth="1"/>
    <col min="5640" max="5893" width="11" style="12"/>
    <col min="5894" max="5894" width="11.875" style="12" bestFit="1" customWidth="1"/>
    <col min="5895" max="5895" width="11.125" style="12" bestFit="1" customWidth="1"/>
    <col min="5896" max="6149" width="11" style="12"/>
    <col min="6150" max="6150" width="11.875" style="12" bestFit="1" customWidth="1"/>
    <col min="6151" max="6151" width="11.125" style="12" bestFit="1" customWidth="1"/>
    <col min="6152" max="6405" width="11" style="12"/>
    <col min="6406" max="6406" width="11.875" style="12" bestFit="1" customWidth="1"/>
    <col min="6407" max="6407" width="11.125" style="12" bestFit="1" customWidth="1"/>
    <col min="6408" max="6661" width="11" style="12"/>
    <col min="6662" max="6662" width="11.875" style="12" bestFit="1" customWidth="1"/>
    <col min="6663" max="6663" width="11.125" style="12" bestFit="1" customWidth="1"/>
    <col min="6664" max="6917" width="11" style="12"/>
    <col min="6918" max="6918" width="11.875" style="12" bestFit="1" customWidth="1"/>
    <col min="6919" max="6919" width="11.125" style="12" bestFit="1" customWidth="1"/>
    <col min="6920" max="7173" width="11" style="12"/>
    <col min="7174" max="7174" width="11.875" style="12" bestFit="1" customWidth="1"/>
    <col min="7175" max="7175" width="11.125" style="12" bestFit="1" customWidth="1"/>
    <col min="7176" max="7429" width="11" style="12"/>
    <col min="7430" max="7430" width="11.875" style="12" bestFit="1" customWidth="1"/>
    <col min="7431" max="7431" width="11.125" style="12" bestFit="1" customWidth="1"/>
    <col min="7432" max="7685" width="11" style="12"/>
    <col min="7686" max="7686" width="11.875" style="12" bestFit="1" customWidth="1"/>
    <col min="7687" max="7687" width="11.125" style="12" bestFit="1" customWidth="1"/>
    <col min="7688" max="7941" width="11" style="12"/>
    <col min="7942" max="7942" width="11.875" style="12" bestFit="1" customWidth="1"/>
    <col min="7943" max="7943" width="11.125" style="12" bestFit="1" customWidth="1"/>
    <col min="7944" max="8197" width="11" style="12"/>
    <col min="8198" max="8198" width="11.875" style="12" bestFit="1" customWidth="1"/>
    <col min="8199" max="8199" width="11.125" style="12" bestFit="1" customWidth="1"/>
    <col min="8200" max="8453" width="11" style="12"/>
    <col min="8454" max="8454" width="11.875" style="12" bestFit="1" customWidth="1"/>
    <col min="8455" max="8455" width="11.125" style="12" bestFit="1" customWidth="1"/>
    <col min="8456" max="8709" width="11" style="12"/>
    <col min="8710" max="8710" width="11.875" style="12" bestFit="1" customWidth="1"/>
    <col min="8711" max="8711" width="11.125" style="12" bestFit="1" customWidth="1"/>
    <col min="8712" max="8965" width="11" style="12"/>
    <col min="8966" max="8966" width="11.875" style="12" bestFit="1" customWidth="1"/>
    <col min="8967" max="8967" width="11.125" style="12" bestFit="1" customWidth="1"/>
    <col min="8968" max="9221" width="11" style="12"/>
    <col min="9222" max="9222" width="11.875" style="12" bestFit="1" customWidth="1"/>
    <col min="9223" max="9223" width="11.125" style="12" bestFit="1" customWidth="1"/>
    <col min="9224" max="9477" width="11" style="12"/>
    <col min="9478" max="9478" width="11.875" style="12" bestFit="1" customWidth="1"/>
    <col min="9479" max="9479" width="11.125" style="12" bestFit="1" customWidth="1"/>
    <col min="9480" max="9733" width="11" style="12"/>
    <col min="9734" max="9734" width="11.875" style="12" bestFit="1" customWidth="1"/>
    <col min="9735" max="9735" width="11.125" style="12" bestFit="1" customWidth="1"/>
    <col min="9736" max="9989" width="11" style="12"/>
    <col min="9990" max="9990" width="11.875" style="12" bestFit="1" customWidth="1"/>
    <col min="9991" max="9991" width="11.125" style="12" bestFit="1" customWidth="1"/>
    <col min="9992" max="10245" width="11" style="12"/>
    <col min="10246" max="10246" width="11.875" style="12" bestFit="1" customWidth="1"/>
    <col min="10247" max="10247" width="11.125" style="12" bestFit="1" customWidth="1"/>
    <col min="10248" max="10501" width="11" style="12"/>
    <col min="10502" max="10502" width="11.875" style="12" bestFit="1" customWidth="1"/>
    <col min="10503" max="10503" width="11.125" style="12" bestFit="1" customWidth="1"/>
    <col min="10504" max="10757" width="11" style="12"/>
    <col min="10758" max="10758" width="11.875" style="12" bestFit="1" customWidth="1"/>
    <col min="10759" max="10759" width="11.125" style="12" bestFit="1" customWidth="1"/>
    <col min="10760" max="11013" width="11" style="12"/>
    <col min="11014" max="11014" width="11.875" style="12" bestFit="1" customWidth="1"/>
    <col min="11015" max="11015" width="11.125" style="12" bestFit="1" customWidth="1"/>
    <col min="11016" max="11269" width="11" style="12"/>
    <col min="11270" max="11270" width="11.875" style="12" bestFit="1" customWidth="1"/>
    <col min="11271" max="11271" width="11.125" style="12" bestFit="1" customWidth="1"/>
    <col min="11272" max="11525" width="11" style="12"/>
    <col min="11526" max="11526" width="11.875" style="12" bestFit="1" customWidth="1"/>
    <col min="11527" max="11527" width="11.125" style="12" bestFit="1" customWidth="1"/>
    <col min="11528" max="11781" width="11" style="12"/>
    <col min="11782" max="11782" width="11.875" style="12" bestFit="1" customWidth="1"/>
    <col min="11783" max="11783" width="11.125" style="12" bestFit="1" customWidth="1"/>
    <col min="11784" max="12037" width="11" style="12"/>
    <col min="12038" max="12038" width="11.875" style="12" bestFit="1" customWidth="1"/>
    <col min="12039" max="12039" width="11.125" style="12" bestFit="1" customWidth="1"/>
    <col min="12040" max="12293" width="11" style="12"/>
    <col min="12294" max="12294" width="11.875" style="12" bestFit="1" customWidth="1"/>
    <col min="12295" max="12295" width="11.125" style="12" bestFit="1" customWidth="1"/>
    <col min="12296" max="12549" width="11" style="12"/>
    <col min="12550" max="12550" width="11.875" style="12" bestFit="1" customWidth="1"/>
    <col min="12551" max="12551" width="11.125" style="12" bestFit="1" customWidth="1"/>
    <col min="12552" max="12805" width="11" style="12"/>
    <col min="12806" max="12806" width="11.875" style="12" bestFit="1" customWidth="1"/>
    <col min="12807" max="12807" width="11.125" style="12" bestFit="1" customWidth="1"/>
    <col min="12808" max="13061" width="11" style="12"/>
    <col min="13062" max="13062" width="11.875" style="12" bestFit="1" customWidth="1"/>
    <col min="13063" max="13063" width="11.125" style="12" bestFit="1" customWidth="1"/>
    <col min="13064" max="13317" width="11" style="12"/>
    <col min="13318" max="13318" width="11.875" style="12" bestFit="1" customWidth="1"/>
    <col min="13319" max="13319" width="11.125" style="12" bestFit="1" customWidth="1"/>
    <col min="13320" max="13573" width="11" style="12"/>
    <col min="13574" max="13574" width="11.875" style="12" bestFit="1" customWidth="1"/>
    <col min="13575" max="13575" width="11.125" style="12" bestFit="1" customWidth="1"/>
    <col min="13576" max="13829" width="11" style="12"/>
    <col min="13830" max="13830" width="11.875" style="12" bestFit="1" customWidth="1"/>
    <col min="13831" max="13831" width="11.125" style="12" bestFit="1" customWidth="1"/>
    <col min="13832" max="14085" width="11" style="12"/>
    <col min="14086" max="14086" width="11.875" style="12" bestFit="1" customWidth="1"/>
    <col min="14087" max="14087" width="11.125" style="12" bestFit="1" customWidth="1"/>
    <col min="14088" max="14341" width="11" style="12"/>
    <col min="14342" max="14342" width="11.875" style="12" bestFit="1" customWidth="1"/>
    <col min="14343" max="14343" width="11.125" style="12" bestFit="1" customWidth="1"/>
    <col min="14344" max="14597" width="11" style="12"/>
    <col min="14598" max="14598" width="11.875" style="12" bestFit="1" customWidth="1"/>
    <col min="14599" max="14599" width="11.125" style="12" bestFit="1" customWidth="1"/>
    <col min="14600" max="14853" width="11" style="12"/>
    <col min="14854" max="14854" width="11.875" style="12" bestFit="1" customWidth="1"/>
    <col min="14855" max="14855" width="11.125" style="12" bestFit="1" customWidth="1"/>
    <col min="14856" max="15109" width="11" style="12"/>
    <col min="15110" max="15110" width="11.875" style="12" bestFit="1" customWidth="1"/>
    <col min="15111" max="15111" width="11.125" style="12" bestFit="1" customWidth="1"/>
    <col min="15112" max="15365" width="11" style="12"/>
    <col min="15366" max="15366" width="11.875" style="12" bestFit="1" customWidth="1"/>
    <col min="15367" max="15367" width="11.125" style="12" bestFit="1" customWidth="1"/>
    <col min="15368" max="15621" width="11" style="12"/>
    <col min="15622" max="15622" width="11.875" style="12" bestFit="1" customWidth="1"/>
    <col min="15623" max="15623" width="11.125" style="12" bestFit="1" customWidth="1"/>
    <col min="15624" max="15877" width="11" style="12"/>
    <col min="15878" max="15878" width="11.875" style="12" bestFit="1" customWidth="1"/>
    <col min="15879" max="15879" width="11.125" style="12" bestFit="1" customWidth="1"/>
    <col min="15880" max="16133" width="11" style="12"/>
    <col min="16134" max="16134" width="11.875" style="12" bestFit="1" customWidth="1"/>
    <col min="16135" max="16135" width="11.125" style="12" bestFit="1" customWidth="1"/>
    <col min="16136" max="16384" width="11" style="12"/>
  </cols>
  <sheetData>
    <row r="1" spans="1:23" ht="18" x14ac:dyDescent="0.25">
      <c r="A1" s="39" t="s">
        <v>127</v>
      </c>
      <c r="B1" s="39"/>
      <c r="C1" s="39"/>
      <c r="D1" s="39"/>
      <c r="E1" s="40" t="s">
        <v>128</v>
      </c>
      <c r="F1" s="39"/>
      <c r="G1" s="39"/>
      <c r="H1" s="39"/>
      <c r="I1" s="39"/>
      <c r="V1" s="12">
        <v>1</v>
      </c>
      <c r="W1" s="12" t="s">
        <v>129</v>
      </c>
    </row>
    <row r="2" spans="1:23" x14ac:dyDescent="0.2">
      <c r="A2" s="41"/>
      <c r="B2" s="41"/>
      <c r="C2" s="41"/>
      <c r="D2" s="41"/>
      <c r="E2" s="42" t="s">
        <v>130</v>
      </c>
      <c r="F2" s="41"/>
      <c r="G2" s="41"/>
      <c r="H2" s="41"/>
      <c r="I2" s="41"/>
      <c r="V2" s="12">
        <v>2</v>
      </c>
      <c r="W2" s="12" t="s">
        <v>131</v>
      </c>
    </row>
    <row r="3" spans="1:23" x14ac:dyDescent="0.2">
      <c r="A3" s="43" t="s">
        <v>132</v>
      </c>
      <c r="B3" s="43"/>
      <c r="C3" s="43"/>
      <c r="D3" s="43"/>
      <c r="E3" s="44" t="s">
        <v>133</v>
      </c>
      <c r="F3" s="43"/>
      <c r="G3" s="43"/>
      <c r="H3" s="43"/>
      <c r="I3" s="43"/>
      <c r="V3" s="12">
        <v>3</v>
      </c>
      <c r="W3" s="12" t="s">
        <v>134</v>
      </c>
    </row>
    <row r="4" spans="1:23" ht="14.25" x14ac:dyDescent="0.2">
      <c r="A4" s="43" t="s">
        <v>135</v>
      </c>
      <c r="B4" s="43"/>
      <c r="C4" s="44"/>
      <c r="D4" s="43"/>
      <c r="E4" s="45" t="s">
        <v>136</v>
      </c>
      <c r="F4" s="43"/>
      <c r="G4" s="43"/>
      <c r="H4" s="43"/>
      <c r="I4" s="43"/>
      <c r="V4" s="12">
        <v>4</v>
      </c>
      <c r="W4" s="12" t="s">
        <v>137</v>
      </c>
    </row>
    <row r="5" spans="1:23" x14ac:dyDescent="0.2">
      <c r="A5" s="43"/>
      <c r="B5" s="43"/>
      <c r="C5" s="43"/>
      <c r="D5" s="43"/>
      <c r="E5" s="39" t="s">
        <v>138</v>
      </c>
      <c r="F5" s="43"/>
      <c r="G5" s="43"/>
      <c r="H5" s="43"/>
      <c r="I5" s="43"/>
      <c r="V5" s="12">
        <v>5</v>
      </c>
      <c r="W5" s="12" t="s">
        <v>139</v>
      </c>
    </row>
    <row r="6" spans="1:23" x14ac:dyDescent="0.2">
      <c r="A6" s="43"/>
      <c r="B6" s="43"/>
      <c r="C6" s="43"/>
      <c r="D6" s="43"/>
      <c r="E6" s="43" t="s">
        <v>140</v>
      </c>
      <c r="F6" s="43"/>
      <c r="G6" s="43"/>
      <c r="H6" s="43"/>
      <c r="I6" s="43"/>
      <c r="V6" s="12">
        <v>6</v>
      </c>
      <c r="W6" s="12" t="s">
        <v>141</v>
      </c>
    </row>
    <row r="7" spans="1:23" x14ac:dyDescent="0.2">
      <c r="A7" s="43"/>
      <c r="B7" s="46" t="s">
        <v>142</v>
      </c>
      <c r="C7" s="44"/>
      <c r="D7" s="43"/>
      <c r="E7" s="39" t="s">
        <v>143</v>
      </c>
      <c r="F7" s="43"/>
      <c r="G7" s="43"/>
      <c r="H7" s="43"/>
      <c r="I7" s="43"/>
      <c r="V7" s="12">
        <v>7</v>
      </c>
      <c r="W7" s="12" t="s">
        <v>144</v>
      </c>
    </row>
    <row r="8" spans="1:23" ht="15.75" x14ac:dyDescent="0.25">
      <c r="B8" s="47" t="s">
        <v>145</v>
      </c>
      <c r="C8" s="44"/>
      <c r="D8" s="43"/>
      <c r="E8" s="48" t="s">
        <v>146</v>
      </c>
      <c r="F8" s="43"/>
      <c r="G8" s="43"/>
      <c r="H8" s="43"/>
      <c r="I8" s="43"/>
      <c r="V8" s="12">
        <v>8</v>
      </c>
      <c r="W8" s="12" t="s">
        <v>147</v>
      </c>
    </row>
    <row r="9" spans="1:23" x14ac:dyDescent="0.2">
      <c r="A9" s="12" t="s">
        <v>148</v>
      </c>
      <c r="C9" s="44"/>
      <c r="D9" s="43"/>
      <c r="E9" s="42" t="s">
        <v>149</v>
      </c>
      <c r="F9" s="43"/>
      <c r="G9" s="43"/>
      <c r="H9" s="43"/>
      <c r="I9" s="43"/>
      <c r="V9" s="12">
        <v>9</v>
      </c>
      <c r="W9" s="12" t="s">
        <v>150</v>
      </c>
    </row>
    <row r="10" spans="1:23" ht="18" x14ac:dyDescent="0.25">
      <c r="B10" s="43" t="s">
        <v>151</v>
      </c>
      <c r="C10" s="44"/>
      <c r="D10" s="43"/>
      <c r="E10" s="43"/>
      <c r="F10" s="12" t="s">
        <v>152</v>
      </c>
      <c r="G10" s="49">
        <v>2024</v>
      </c>
      <c r="H10" s="43"/>
      <c r="I10" s="43"/>
      <c r="V10" s="12">
        <v>10</v>
      </c>
      <c r="W10" s="12" t="s">
        <v>153</v>
      </c>
    </row>
    <row r="11" spans="1:23" x14ac:dyDescent="0.2">
      <c r="B11" s="46" t="s">
        <v>154</v>
      </c>
      <c r="C11" s="44"/>
      <c r="D11" s="43"/>
      <c r="E11" s="43"/>
      <c r="F11" s="44" t="s">
        <v>155</v>
      </c>
      <c r="H11" s="43"/>
      <c r="I11" s="43"/>
      <c r="V11" s="12">
        <v>11</v>
      </c>
      <c r="W11" s="12" t="s">
        <v>156</v>
      </c>
    </row>
    <row r="12" spans="1:23" x14ac:dyDescent="0.2">
      <c r="B12" s="43" t="s">
        <v>151</v>
      </c>
      <c r="C12" s="44"/>
      <c r="D12" s="43"/>
      <c r="E12" s="43"/>
      <c r="F12" s="12" t="s">
        <v>157</v>
      </c>
      <c r="G12" s="50" t="str">
        <f>VLOOKUP(MONTH('[1]DIAME IRSA'!D2),V1:W12,2)</f>
        <v>Janvier</v>
      </c>
      <c r="I12" s="43"/>
      <c r="V12" s="12">
        <v>12</v>
      </c>
      <c r="W12" s="12" t="s">
        <v>158</v>
      </c>
    </row>
    <row r="13" spans="1:23" x14ac:dyDescent="0.2">
      <c r="A13" s="41"/>
      <c r="B13" s="41"/>
      <c r="C13" s="42"/>
      <c r="D13" s="41"/>
      <c r="E13" s="41"/>
      <c r="F13" s="42" t="s">
        <v>159</v>
      </c>
      <c r="G13" s="51">
        <f>'[1]DIAME IRSA'!D2</f>
        <v>45658</v>
      </c>
      <c r="H13" s="41"/>
      <c r="I13" s="41"/>
    </row>
    <row r="14" spans="1:23" x14ac:dyDescent="0.2">
      <c r="A14" s="41"/>
      <c r="B14" s="41"/>
      <c r="C14" s="42"/>
      <c r="D14" s="41"/>
      <c r="E14" s="41"/>
      <c r="F14" s="39"/>
      <c r="H14" s="52"/>
      <c r="I14" s="41"/>
    </row>
    <row r="15" spans="1:23" x14ac:dyDescent="0.2">
      <c r="A15" s="39" t="s">
        <v>160</v>
      </c>
      <c r="B15" s="41"/>
      <c r="C15" s="42"/>
      <c r="D15" s="41"/>
      <c r="E15" s="41"/>
      <c r="F15" s="41"/>
      <c r="G15" s="41"/>
      <c r="H15" s="41"/>
      <c r="I15" s="41"/>
    </row>
    <row r="16" spans="1:23" x14ac:dyDescent="0.2">
      <c r="A16" s="42" t="s">
        <v>161</v>
      </c>
      <c r="B16" s="41"/>
      <c r="C16" s="42"/>
      <c r="D16" s="41"/>
      <c r="E16" s="41" t="s">
        <v>162</v>
      </c>
      <c r="F16" s="53">
        <f>[1]EMPLOYEUR!C6</f>
        <v>3003101957</v>
      </c>
      <c r="G16" s="41"/>
      <c r="H16" s="41"/>
      <c r="I16" s="41"/>
    </row>
    <row r="17" spans="1:9" x14ac:dyDescent="0.2">
      <c r="A17" s="39" t="s">
        <v>163</v>
      </c>
      <c r="B17" s="41"/>
      <c r="D17" s="39" t="s">
        <v>164</v>
      </c>
      <c r="E17" s="41"/>
      <c r="F17" s="41"/>
      <c r="G17" s="41"/>
      <c r="H17" s="41"/>
      <c r="I17" s="41"/>
    </row>
    <row r="18" spans="1:9" x14ac:dyDescent="0.2">
      <c r="A18" s="42" t="s">
        <v>165</v>
      </c>
      <c r="B18" s="41"/>
      <c r="C18" s="42"/>
      <c r="D18" s="41"/>
      <c r="E18" s="42" t="s">
        <v>166</v>
      </c>
      <c r="F18" s="41"/>
      <c r="G18" s="41"/>
      <c r="H18" s="41"/>
      <c r="I18" s="41"/>
    </row>
    <row r="19" spans="1:9" x14ac:dyDescent="0.2">
      <c r="A19" s="39" t="s">
        <v>167</v>
      </c>
      <c r="B19" s="41"/>
      <c r="C19" s="42" t="s">
        <v>168</v>
      </c>
      <c r="D19" s="41"/>
      <c r="E19" s="41"/>
      <c r="F19" s="41"/>
      <c r="G19" s="41"/>
      <c r="H19" s="41"/>
      <c r="I19" s="41"/>
    </row>
    <row r="20" spans="1:9" x14ac:dyDescent="0.2">
      <c r="A20" s="42" t="s">
        <v>169</v>
      </c>
      <c r="B20" s="41"/>
      <c r="C20" s="42"/>
      <c r="D20" s="41"/>
      <c r="E20" s="41"/>
      <c r="F20" s="41"/>
      <c r="G20" s="41"/>
      <c r="H20" s="41"/>
      <c r="I20" s="41"/>
    </row>
    <row r="21" spans="1:9" x14ac:dyDescent="0.2">
      <c r="A21" s="39" t="s">
        <v>170</v>
      </c>
      <c r="B21" s="41"/>
      <c r="C21" s="42"/>
      <c r="D21" s="41"/>
      <c r="E21" s="41"/>
      <c r="F21" s="41"/>
      <c r="G21" s="41"/>
      <c r="H21" s="41"/>
      <c r="I21" s="41" t="s">
        <v>171</v>
      </c>
    </row>
    <row r="22" spans="1:9" x14ac:dyDescent="0.2">
      <c r="A22" s="42" t="s">
        <v>172</v>
      </c>
      <c r="B22" s="41"/>
      <c r="C22" s="42"/>
      <c r="D22" s="41"/>
      <c r="E22" s="41"/>
      <c r="F22" s="41"/>
      <c r="G22" s="41"/>
      <c r="H22" s="41"/>
      <c r="I22" s="41"/>
    </row>
    <row r="23" spans="1:9" ht="13.5" thickBot="1" x14ac:dyDescent="0.25">
      <c r="A23" s="39" t="s">
        <v>173</v>
      </c>
      <c r="B23" s="41"/>
      <c r="C23" s="42"/>
      <c r="D23" s="41"/>
      <c r="E23" s="41"/>
      <c r="F23" s="41"/>
      <c r="G23" s="41"/>
      <c r="H23" s="41"/>
      <c r="I23" s="41"/>
    </row>
    <row r="24" spans="1:9" x14ac:dyDescent="0.2">
      <c r="A24" s="54"/>
      <c r="B24" s="55"/>
      <c r="C24" s="56"/>
      <c r="D24" s="55"/>
      <c r="E24" s="55"/>
      <c r="F24" s="55"/>
      <c r="G24" s="57" t="s">
        <v>174</v>
      </c>
      <c r="H24" s="54" t="s">
        <v>175</v>
      </c>
      <c r="I24" s="58"/>
    </row>
    <row r="25" spans="1:9" x14ac:dyDescent="0.2">
      <c r="A25" s="59"/>
      <c r="B25" s="39"/>
      <c r="C25" s="39" t="s">
        <v>176</v>
      </c>
      <c r="D25" s="42"/>
      <c r="E25" s="39"/>
      <c r="F25" s="39"/>
      <c r="G25" s="60" t="s">
        <v>177</v>
      </c>
      <c r="H25" s="59" t="s">
        <v>178</v>
      </c>
      <c r="I25" s="61"/>
    </row>
    <row r="26" spans="1:9" x14ac:dyDescent="0.2">
      <c r="A26" s="59"/>
      <c r="B26" s="39"/>
      <c r="C26" s="42" t="s">
        <v>179</v>
      </c>
      <c r="D26" s="42"/>
      <c r="E26" s="39"/>
      <c r="F26" s="39"/>
      <c r="G26" s="60" t="s">
        <v>180</v>
      </c>
      <c r="H26" s="62" t="s">
        <v>181</v>
      </c>
      <c r="I26" s="61"/>
    </row>
    <row r="27" spans="1:9" ht="13.5" thickBot="1" x14ac:dyDescent="0.25">
      <c r="A27" s="63"/>
      <c r="B27" s="64"/>
      <c r="C27" s="64"/>
      <c r="D27" s="64"/>
      <c r="E27" s="64"/>
      <c r="F27" s="64"/>
      <c r="G27" s="65"/>
      <c r="H27" s="66" t="s">
        <v>182</v>
      </c>
      <c r="I27" s="67"/>
    </row>
    <row r="28" spans="1:9" x14ac:dyDescent="0.2">
      <c r="A28" s="68" t="s">
        <v>183</v>
      </c>
      <c r="B28" s="55"/>
      <c r="C28" s="55"/>
      <c r="D28" s="55" t="s">
        <v>184</v>
      </c>
      <c r="E28" s="55"/>
      <c r="F28" s="69">
        <f>COUNTIF([1]!liste_paiement[Mois paiement],'bordereau IRSA'!G13)</f>
        <v>36</v>
      </c>
      <c r="G28" s="70"/>
      <c r="H28" s="54"/>
      <c r="I28" s="58"/>
    </row>
    <row r="29" spans="1:9" ht="16.5" thickBot="1" x14ac:dyDescent="0.3">
      <c r="A29" s="62" t="s">
        <v>185</v>
      </c>
      <c r="B29" s="39"/>
      <c r="C29" s="41"/>
      <c r="D29" s="42" t="s">
        <v>186</v>
      </c>
      <c r="E29" s="39"/>
      <c r="F29" s="65"/>
      <c r="G29" s="71">
        <f>SUMIF([1]!liste_paiement[Mois paiement],'[1]DIAME IRSA'!D2,[1]!liste_paiement[IRSA])</f>
        <v>2343637</v>
      </c>
      <c r="H29" s="59"/>
      <c r="I29" s="61"/>
    </row>
    <row r="30" spans="1:9" ht="15.75" x14ac:dyDescent="0.25">
      <c r="A30" s="59"/>
      <c r="B30" s="39"/>
      <c r="C30" s="39"/>
      <c r="D30" s="42" t="s">
        <v>187</v>
      </c>
      <c r="E30" s="39"/>
      <c r="F30" s="71">
        <f>SUMIF([1]!liste_paiement[Mois paiement],'[1]DIAME IRSA'!D2,[1]!liste_paiement[Base imposable])</f>
        <v>25869004</v>
      </c>
      <c r="G30" s="72"/>
      <c r="H30" s="59"/>
      <c r="I30" s="61"/>
    </row>
    <row r="31" spans="1:9" ht="16.5" thickBot="1" x14ac:dyDescent="0.3">
      <c r="A31" s="59"/>
      <c r="B31" s="39"/>
      <c r="C31" s="39"/>
      <c r="D31" s="42" t="s">
        <v>188</v>
      </c>
      <c r="E31" s="39"/>
      <c r="F31" s="73"/>
      <c r="G31" s="74"/>
      <c r="H31" s="59"/>
      <c r="I31" s="61"/>
    </row>
    <row r="32" spans="1:9" ht="15.75" x14ac:dyDescent="0.25">
      <c r="A32" s="59" t="s">
        <v>189</v>
      </c>
      <c r="B32" s="39"/>
      <c r="C32" s="39"/>
      <c r="D32" s="39"/>
      <c r="E32" s="39"/>
      <c r="F32" s="39"/>
      <c r="G32" s="71"/>
      <c r="H32" s="59"/>
      <c r="I32" s="61"/>
    </row>
    <row r="33" spans="1:9" ht="16.5" thickBot="1" x14ac:dyDescent="0.3">
      <c r="A33" s="62" t="s">
        <v>190</v>
      </c>
      <c r="B33" s="39"/>
      <c r="C33" s="39"/>
      <c r="D33" s="39"/>
      <c r="E33" s="39"/>
      <c r="F33" s="39"/>
      <c r="G33" s="71"/>
      <c r="H33" s="59"/>
      <c r="I33" s="61"/>
    </row>
    <row r="34" spans="1:9" ht="15.75" x14ac:dyDescent="0.25">
      <c r="A34" s="75" t="s">
        <v>191</v>
      </c>
      <c r="B34" s="39"/>
      <c r="C34" s="39"/>
      <c r="D34" s="39" t="s">
        <v>184</v>
      </c>
      <c r="E34" s="39"/>
      <c r="F34" s="69">
        <v>0</v>
      </c>
      <c r="G34" s="71"/>
      <c r="H34" s="59"/>
      <c r="I34" s="61"/>
    </row>
    <row r="35" spans="1:9" ht="16.5" thickBot="1" x14ac:dyDescent="0.3">
      <c r="A35" s="62" t="s">
        <v>192</v>
      </c>
      <c r="B35" s="39"/>
      <c r="C35" s="39"/>
      <c r="D35" s="42" t="s">
        <v>186</v>
      </c>
      <c r="E35" s="39"/>
      <c r="F35" s="76"/>
      <c r="G35" s="71"/>
      <c r="H35" s="59"/>
      <c r="I35" s="61"/>
    </row>
    <row r="36" spans="1:9" ht="15.75" x14ac:dyDescent="0.25">
      <c r="A36" s="62" t="s">
        <v>193</v>
      </c>
      <c r="B36" s="39"/>
      <c r="C36" s="39"/>
      <c r="D36" s="39" t="s">
        <v>187</v>
      </c>
      <c r="E36" s="39"/>
      <c r="F36" s="77"/>
      <c r="G36" s="71"/>
      <c r="H36" s="59"/>
      <c r="I36" s="61"/>
    </row>
    <row r="37" spans="1:9" ht="16.5" thickBot="1" x14ac:dyDescent="0.3">
      <c r="A37" s="59"/>
      <c r="B37" s="39"/>
      <c r="C37" s="39"/>
      <c r="D37" s="42" t="s">
        <v>188</v>
      </c>
      <c r="E37" s="39"/>
      <c r="F37" s="76">
        <v>0</v>
      </c>
      <c r="G37" s="71"/>
      <c r="H37" s="59"/>
      <c r="I37" s="61"/>
    </row>
    <row r="38" spans="1:9" ht="16.5" thickBot="1" x14ac:dyDescent="0.3">
      <c r="A38" s="59"/>
      <c r="B38" s="39"/>
      <c r="C38" s="42" t="s">
        <v>194</v>
      </c>
      <c r="D38" s="42"/>
      <c r="E38" s="39"/>
      <c r="F38" s="78">
        <f>F30</f>
        <v>25869004</v>
      </c>
      <c r="G38" s="71"/>
      <c r="H38" s="59"/>
      <c r="I38" s="61"/>
    </row>
    <row r="39" spans="1:9" ht="15.75" x14ac:dyDescent="0.25">
      <c r="A39" s="75" t="s">
        <v>195</v>
      </c>
      <c r="B39" s="39"/>
      <c r="C39" s="39"/>
      <c r="D39" s="42"/>
      <c r="E39" s="39"/>
      <c r="F39" s="39"/>
      <c r="G39" s="71"/>
      <c r="H39" s="59"/>
      <c r="I39" s="61"/>
    </row>
    <row r="40" spans="1:9" ht="16.5" thickBot="1" x14ac:dyDescent="0.3">
      <c r="A40" s="62" t="s">
        <v>196</v>
      </c>
      <c r="B40" s="39"/>
      <c r="C40" s="39"/>
      <c r="D40" s="42"/>
      <c r="E40" s="39"/>
      <c r="F40" s="39"/>
      <c r="G40" s="71"/>
      <c r="H40" s="59"/>
      <c r="I40" s="61"/>
    </row>
    <row r="41" spans="1:9" ht="16.5" thickBot="1" x14ac:dyDescent="0.3">
      <c r="A41" s="59"/>
      <c r="B41" s="39"/>
      <c r="C41" s="39"/>
      <c r="D41" s="39"/>
      <c r="E41" s="41" t="s">
        <v>197</v>
      </c>
      <c r="F41" s="39"/>
      <c r="G41" s="79">
        <f>G29</f>
        <v>2343637</v>
      </c>
      <c r="H41" s="39"/>
      <c r="I41" s="61"/>
    </row>
    <row r="42" spans="1:9" ht="16.5" thickBot="1" x14ac:dyDescent="0.3">
      <c r="A42" s="59"/>
      <c r="B42" s="39"/>
      <c r="C42" s="39"/>
      <c r="D42" s="39"/>
      <c r="E42" s="42" t="s">
        <v>198</v>
      </c>
      <c r="F42" s="39"/>
      <c r="G42" s="71"/>
      <c r="H42" s="59"/>
      <c r="I42" s="61"/>
    </row>
    <row r="43" spans="1:9" x14ac:dyDescent="0.2">
      <c r="A43" s="68" t="s">
        <v>199</v>
      </c>
      <c r="B43" s="55"/>
      <c r="C43" s="55"/>
      <c r="D43" s="55"/>
      <c r="E43" s="80" t="s">
        <v>200</v>
      </c>
      <c r="F43" s="81" t="s">
        <v>201</v>
      </c>
      <c r="G43" s="70"/>
      <c r="H43" s="39"/>
      <c r="I43" s="61"/>
    </row>
    <row r="44" spans="1:9" x14ac:dyDescent="0.2">
      <c r="A44" s="82" t="s">
        <v>202</v>
      </c>
      <c r="B44" s="83"/>
      <c r="C44" s="83"/>
      <c r="D44" s="83"/>
      <c r="E44" s="82" t="s">
        <v>203</v>
      </c>
      <c r="F44" s="84" t="s">
        <v>204</v>
      </c>
      <c r="G44" s="85"/>
      <c r="H44" s="39"/>
      <c r="I44" s="61"/>
    </row>
    <row r="45" spans="1:9" x14ac:dyDescent="0.2">
      <c r="A45" s="86" t="s">
        <v>205</v>
      </c>
      <c r="B45" s="87" t="s">
        <v>206</v>
      </c>
      <c r="C45" s="87" t="str">
        <f>B45</f>
        <v>Taratasim-</v>
      </c>
      <c r="D45" s="88" t="s">
        <v>207</v>
      </c>
      <c r="E45" s="89" t="s">
        <v>208</v>
      </c>
      <c r="F45" s="90" t="s">
        <v>209</v>
      </c>
      <c r="G45" s="91"/>
      <c r="H45" s="92"/>
      <c r="I45" s="93"/>
    </row>
    <row r="46" spans="1:9" x14ac:dyDescent="0.2">
      <c r="A46" s="94" t="s">
        <v>210</v>
      </c>
      <c r="B46" s="95" t="s">
        <v>211</v>
      </c>
      <c r="C46" s="95" t="s">
        <v>212</v>
      </c>
      <c r="D46" s="90" t="s">
        <v>213</v>
      </c>
      <c r="E46" s="96" t="s">
        <v>214</v>
      </c>
      <c r="F46" s="97" t="s">
        <v>118</v>
      </c>
      <c r="G46" s="91"/>
      <c r="H46" s="92"/>
      <c r="I46" s="93"/>
    </row>
    <row r="47" spans="1:9" ht="13.5" thickBot="1" x14ac:dyDescent="0.25">
      <c r="A47" s="98"/>
      <c r="B47" s="99" t="s">
        <v>215</v>
      </c>
      <c r="C47" s="100" t="s">
        <v>216</v>
      </c>
      <c r="D47" s="101" t="s">
        <v>217</v>
      </c>
      <c r="E47" s="96" t="s">
        <v>218</v>
      </c>
      <c r="F47" s="90" t="s">
        <v>219</v>
      </c>
      <c r="G47" s="91"/>
      <c r="H47" s="92"/>
      <c r="I47" s="93"/>
    </row>
    <row r="48" spans="1:9" x14ac:dyDescent="0.2">
      <c r="A48" s="75" t="s">
        <v>220</v>
      </c>
      <c r="B48" s="39"/>
      <c r="C48" s="39"/>
      <c r="D48" s="39"/>
      <c r="E48" s="80" t="s">
        <v>221</v>
      </c>
      <c r="F48" s="55"/>
      <c r="G48" s="102" t="s">
        <v>222</v>
      </c>
      <c r="H48" s="55"/>
      <c r="I48" s="58"/>
    </row>
    <row r="49" spans="1:9" ht="13.5" thickBot="1" x14ac:dyDescent="0.25">
      <c r="A49" s="103" t="s">
        <v>223</v>
      </c>
      <c r="B49" s="104"/>
      <c r="C49" s="104"/>
      <c r="D49" s="105"/>
      <c r="E49" s="89" t="s">
        <v>224</v>
      </c>
      <c r="F49" s="92"/>
      <c r="G49" s="39"/>
      <c r="H49" s="39"/>
      <c r="I49" s="61"/>
    </row>
    <row r="50" spans="1:9" ht="13.5" thickTop="1" x14ac:dyDescent="0.2">
      <c r="A50" s="59"/>
      <c r="B50" s="39"/>
      <c r="C50" s="39"/>
      <c r="D50" s="39"/>
      <c r="E50" s="106" t="s">
        <v>225</v>
      </c>
      <c r="F50" s="107" t="s">
        <v>226</v>
      </c>
      <c r="G50" s="57"/>
      <c r="H50" s="108"/>
      <c r="I50" s="109"/>
    </row>
    <row r="51" spans="1:9" ht="13.5" thickBot="1" x14ac:dyDescent="0.25">
      <c r="A51" s="59"/>
      <c r="B51" s="42" t="s">
        <v>227</v>
      </c>
      <c r="C51" s="39"/>
      <c r="D51" s="39"/>
      <c r="E51" s="96" t="s">
        <v>228</v>
      </c>
      <c r="F51" s="39"/>
      <c r="G51" s="65"/>
      <c r="H51" s="59"/>
      <c r="I51" s="61"/>
    </row>
    <row r="52" spans="1:9" ht="13.5" thickBot="1" x14ac:dyDescent="0.25">
      <c r="A52" s="59"/>
      <c r="B52" s="39"/>
      <c r="C52" s="39"/>
      <c r="D52" s="39"/>
      <c r="E52" s="96" t="s">
        <v>229</v>
      </c>
      <c r="F52" s="39"/>
      <c r="G52" s="39"/>
      <c r="H52" s="59"/>
      <c r="I52" s="61"/>
    </row>
    <row r="53" spans="1:9" ht="13.5" thickTop="1" x14ac:dyDescent="0.2">
      <c r="A53" s="59"/>
      <c r="B53" s="39"/>
      <c r="C53" s="39"/>
      <c r="D53" s="39"/>
      <c r="E53" s="110" t="s">
        <v>230</v>
      </c>
      <c r="F53" s="111"/>
      <c r="G53" s="112"/>
      <c r="H53" s="111"/>
      <c r="I53" s="109"/>
    </row>
    <row r="54" spans="1:9" ht="13.5" thickBot="1" x14ac:dyDescent="0.25">
      <c r="A54" s="59"/>
      <c r="B54" s="39"/>
      <c r="C54" s="39"/>
      <c r="D54" s="39"/>
      <c r="E54" s="66" t="s">
        <v>231</v>
      </c>
      <c r="F54" s="39"/>
      <c r="G54" s="113"/>
      <c r="H54" s="39"/>
      <c r="I54" s="61"/>
    </row>
    <row r="55" spans="1:9" x14ac:dyDescent="0.2">
      <c r="A55" s="54" t="s">
        <v>232</v>
      </c>
      <c r="B55" s="55"/>
      <c r="C55" s="55"/>
      <c r="D55" s="55"/>
      <c r="E55" s="55" t="s">
        <v>233</v>
      </c>
      <c r="F55" s="55"/>
      <c r="G55" s="55" t="s">
        <v>234</v>
      </c>
      <c r="H55" s="55"/>
      <c r="I55" s="58"/>
    </row>
    <row r="56" spans="1:9" ht="13.5" thickBot="1" x14ac:dyDescent="0.25">
      <c r="A56" s="66" t="s">
        <v>235</v>
      </c>
      <c r="B56" s="64"/>
      <c r="C56" s="64"/>
      <c r="D56" s="64"/>
      <c r="E56" s="114" t="s">
        <v>236</v>
      </c>
      <c r="F56" s="64"/>
      <c r="G56" s="114" t="s">
        <v>237</v>
      </c>
      <c r="H56" s="64"/>
      <c r="I56" s="67"/>
    </row>
  </sheetData>
  <mergeCells count="1">
    <mergeCell ref="B49:D49"/>
  </mergeCells>
  <pageMargins left="0.70866141732283472" right="0.70866141732283472" top="0.74803149606299213" bottom="0.74803149606299213" header="0.31496062992125984" footer="0.31496062992125984"/>
  <pageSetup paperSize="9" scale="80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DIAME IRSA</vt:lpstr>
      <vt:lpstr>D.N IRSA </vt:lpstr>
      <vt:lpstr>bordereau IRSA</vt:lpstr>
      <vt:lpstr>'bordereau IRSA'!Zone_d_impression</vt:lpstr>
      <vt:lpstr>'DIAME IRSA'!Zone_d_impression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Herizo Raza</dc:creator>
  <cp:lastModifiedBy>Herizo Raza</cp:lastModifiedBy>
  <dcterms:created xsi:type="dcterms:W3CDTF">2025-11-24T01:13:15Z</dcterms:created>
  <dcterms:modified xsi:type="dcterms:W3CDTF">2025-11-24T01:16:48Z</dcterms:modified>
</cp:coreProperties>
</file>