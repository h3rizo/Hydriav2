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r Soakoja\Documents\Formation appli web\hydria nuxt django\backend\"/>
    </mc:Choice>
  </mc:AlternateContent>
  <xr:revisionPtr revIDLastSave="0" documentId="13_ncr:1_{9BBCC93C-22EB-4CBE-B8B0-FE69A5F866C5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BORDEREAU SKJ" sheetId="8" r:id="rId1"/>
    <sheet name="SKJ 3T" sheetId="6" r:id="rId2"/>
  </sheets>
  <definedNames>
    <definedName name="_xlnm._FilterDatabase" localSheetId="1" hidden="1">'SKJ 3T'!$A$14:$AML$28</definedName>
    <definedName name="_L">#REF!</definedName>
    <definedName name="_xlnm.Print_Area" localSheetId="0">'BORDEREAU SKJ'!$A$1:$H$54</definedName>
    <definedName name="_xlnm.Print_Area" localSheetId="1">'SKJ 3T'!$A$1:$O$39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8" i="6" l="1"/>
  <c r="N28" i="6"/>
  <c r="G23" i="8"/>
  <c r="G21" i="8"/>
  <c r="G25" i="8" s="1"/>
  <c r="G31" i="8" s="1"/>
  <c r="G28" i="6"/>
  <c r="H28" i="6"/>
  <c r="I28" i="6"/>
  <c r="L27" i="6"/>
  <c r="M27" i="6" s="1"/>
  <c r="L26" i="6"/>
  <c r="M26" i="6" s="1"/>
  <c r="L25" i="6"/>
  <c r="N25" i="6" s="1"/>
  <c r="L24" i="6"/>
  <c r="M24" i="6" s="1"/>
  <c r="L23" i="6"/>
  <c r="M23" i="6" s="1"/>
  <c r="L22" i="6"/>
  <c r="M22" i="6" s="1"/>
  <c r="L21" i="6"/>
  <c r="N21" i="6" s="1"/>
  <c r="L20" i="6"/>
  <c r="M20" i="6" s="1"/>
  <c r="L19" i="6"/>
  <c r="M19" i="6" s="1"/>
  <c r="L18" i="6"/>
  <c r="M18" i="6" s="1"/>
  <c r="L17" i="6"/>
  <c r="M17" i="6" s="1"/>
  <c r="L16" i="6"/>
  <c r="N16" i="6" s="1"/>
  <c r="L15" i="6"/>
  <c r="M15" i="6" s="1"/>
  <c r="M25" i="6" l="1"/>
  <c r="N24" i="6"/>
  <c r="O24" i="6"/>
  <c r="O25" i="6"/>
  <c r="N18" i="6"/>
  <c r="O18" i="6" s="1"/>
  <c r="N17" i="6"/>
  <c r="O17" i="6"/>
  <c r="M16" i="6"/>
  <c r="O16" i="6" s="1"/>
  <c r="M21" i="6"/>
  <c r="O21" i="6" s="1"/>
  <c r="N27" i="6"/>
  <c r="O27" i="6" s="1"/>
  <c r="N20" i="6"/>
  <c r="O20" i="6" s="1"/>
  <c r="N23" i="6"/>
  <c r="O23" i="6" s="1"/>
  <c r="N22" i="6"/>
  <c r="O22" i="6" s="1"/>
  <c r="N15" i="6"/>
  <c r="O15" i="6" s="1"/>
  <c r="N26" i="6"/>
  <c r="O26" i="6" s="1"/>
  <c r="N19" i="6"/>
  <c r="O19" i="6" s="1"/>
  <c r="L28" i="6"/>
  <c r="O28" i="6" l="1"/>
</calcChain>
</file>

<file path=xl/sharedStrings.xml><?xml version="1.0" encoding="utf-8"?>
<sst xmlns="http://schemas.openxmlformats.org/spreadsheetml/2006/main" count="97" uniqueCount="84">
  <si>
    <t>BORDEREAU DE DECLARATION DES COTISATIONS</t>
  </si>
  <si>
    <t>Nom ou Raison sociale:</t>
  </si>
  <si>
    <t>N° d'identification:</t>
  </si>
  <si>
    <t>Adresse:</t>
  </si>
  <si>
    <t>Mail:</t>
  </si>
  <si>
    <t>Téléphone:</t>
  </si>
  <si>
    <t>EFFECTIF TOTAL:</t>
  </si>
  <si>
    <t>TOTAL DES SALAIRES ET AVANTAGES VERSES:</t>
  </si>
  <si>
    <t>COTISATIONS "EMPLOYEUR" (5%):</t>
  </si>
  <si>
    <t>COTISATIONS "TRAVAILLEURS" (1%):</t>
  </si>
  <si>
    <t>TOTAL DES COTISATIONS:</t>
  </si>
  <si>
    <t>MAJORATION DE RETARD:</t>
  </si>
  <si>
    <t>SOLDE ANTERIEUR:</t>
  </si>
  <si>
    <t>NET A PAYER:</t>
  </si>
  <si>
    <t>Certifié sincère et véritable</t>
  </si>
  <si>
    <t>(Cachet et signature)</t>
  </si>
  <si>
    <t>Montant des salaires et assimilés payés au titre :</t>
  </si>
  <si>
    <t xml:space="preserve">de la période considérée : </t>
  </si>
  <si>
    <t>Date de naissance</t>
  </si>
  <si>
    <t>CIN</t>
  </si>
  <si>
    <t>SEXE</t>
  </si>
  <si>
    <t>DATE</t>
  </si>
  <si>
    <t>REMUNERATION</t>
  </si>
  <si>
    <t>Temps de travail</t>
  </si>
  <si>
    <t>TOTAL SALAIRE NON PLAFONNE par employé</t>
  </si>
  <si>
    <t>Nombre Enfants CNaPS</t>
  </si>
  <si>
    <t>Entrée</t>
  </si>
  <si>
    <t>Départ</t>
  </si>
  <si>
    <t>Avantages ou autres</t>
  </si>
  <si>
    <t>TOTAUX</t>
  </si>
  <si>
    <t>…BEMASOANDRO ANKAZOMIANKO VAVATENINA</t>
  </si>
  <si>
    <t>NOM OU RAISON SOCIALE : ONG SOAKOJA</t>
  </si>
  <si>
    <t>Adresse : BEMASOANDRO ANKAZOMIANKO VAVATENINA</t>
  </si>
  <si>
    <t>NIF :  3003101957</t>
  </si>
  <si>
    <t xml:space="preserve">STAT : 88101 32 2018 0 00193                   </t>
  </si>
  <si>
    <t>Tél : 034 85 214 08</t>
  </si>
  <si>
    <t>E-mail : herizoraz@gmail.com</t>
  </si>
  <si>
    <t>Masculin</t>
  </si>
  <si>
    <t>Féminin</t>
  </si>
  <si>
    <t>…herizoraz@gmail.com</t>
  </si>
  <si>
    <t>…034 85 214 08</t>
  </si>
  <si>
    <t>…ONG SOAKOJA</t>
  </si>
  <si>
    <t>……....................</t>
  </si>
  <si>
    <r>
      <t>N</t>
    </r>
    <r>
      <rPr>
        <b/>
        <sz val="9"/>
        <rFont val="Calibri"/>
        <family val="2"/>
      </rPr>
      <t>˚</t>
    </r>
    <r>
      <rPr>
        <b/>
        <sz val="9"/>
        <rFont val="Arial"/>
        <family val="2"/>
      </rPr>
      <t xml:space="preserve"> d'Identification :</t>
    </r>
    <r>
      <rPr>
        <sz val="9"/>
        <rFont val="Arial"/>
        <family val="2"/>
      </rPr>
      <t xml:space="preserve"> …..........................</t>
    </r>
  </si>
  <si>
    <t>OSIEFSoVa</t>
  </si>
  <si>
    <t>Organisation Sanitaire Inter-Entreprises Fénérive-Est Soanierana Ivongo Vavatenina</t>
  </si>
  <si>
    <t>Siège:Fénérive Est</t>
  </si>
  <si>
    <t>RAOUL</t>
  </si>
  <si>
    <t>RENE</t>
  </si>
  <si>
    <t>VELONASY</t>
  </si>
  <si>
    <t>DAHY Christophe</t>
  </si>
  <si>
    <t>FENOMANANA Syressi Tilamb</t>
  </si>
  <si>
    <t>RAVOLAMBAHOAKA Benedictine</t>
  </si>
  <si>
    <t>BIHANONA Elito</t>
  </si>
  <si>
    <t>RAZAFINDRIANTSY Pierrot Carlos</t>
  </si>
  <si>
    <t>305011026832</t>
  </si>
  <si>
    <t>315011018148</t>
  </si>
  <si>
    <t>315012010015</t>
  </si>
  <si>
    <t>315011012731</t>
  </si>
  <si>
    <t>315011014867</t>
  </si>
  <si>
    <t>315051005651</t>
  </si>
  <si>
    <t>114171010430</t>
  </si>
  <si>
    <t>318011030815</t>
  </si>
  <si>
    <t>315012020356</t>
  </si>
  <si>
    <t>305011031886</t>
  </si>
  <si>
    <t>315011029171</t>
  </si>
  <si>
    <t>NOM ET PRENOMS</t>
  </si>
  <si>
    <t>SOMA  Ginot</t>
  </si>
  <si>
    <t>TSIZAFY  Arnaud Victorien</t>
  </si>
  <si>
    <t>BIAKA  Marie Jeanne</t>
  </si>
  <si>
    <t>A Fénérive, le</t>
  </si>
  <si>
    <t>MEVA Félix Antoine</t>
  </si>
  <si>
    <r>
      <t xml:space="preserve">Arrêté à la somme de </t>
    </r>
    <r>
      <rPr>
        <b/>
        <sz val="10"/>
        <rFont val="Arial"/>
        <family val="2"/>
      </rPr>
      <t>Sept cent soixante douze mille cent dix ariary.</t>
    </r>
  </si>
  <si>
    <t>RANDRIANARY Jean Mario</t>
  </si>
  <si>
    <t>Salaire payé/mois Juillet</t>
  </si>
  <si>
    <t>Salaire payé/mois Août</t>
  </si>
  <si>
    <t>Salaire payé/mois Sept</t>
  </si>
  <si>
    <t>Total Cotisations 6%</t>
  </si>
  <si>
    <t xml:space="preserve">Cotisations part employé 1% </t>
  </si>
  <si>
    <t xml:space="preserve">Cotisations part employeur 5% </t>
  </si>
  <si>
    <t>Fénérive, 07/10/2025</t>
  </si>
  <si>
    <t xml:space="preserve">PERIODE: </t>
  </si>
  <si>
    <t>3è trimestre 2025</t>
  </si>
  <si>
    <t>MOIS : Juillet Août Septembre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</si>
</sst>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[$-40C]d\ mmmm\ yyyy;@"/>
    <numFmt numFmtId="166" formatCode="_-* #,##0.00\ _A_r_-;\-* #,##0.00\ _A_r_-;_-* &quot;-&quot;??\ _A_r_-;_-@_-"/>
  </numFmts>
  <fonts count="21">
    <font>
      <sz val="11"/>
      <color rgb="FF000000"/>
      <name val="Calibri"/>
      <charset val="134"/>
    </font>
    <font>
      <sz val="10"/>
      <name val="Arial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u val="double"/>
      <sz val="11"/>
      <color rgb="FF1F497D"/>
      <name val="Century Gothic"/>
      <family val="2"/>
    </font>
    <font>
      <b/>
      <u val="double"/>
      <sz val="10"/>
      <color rgb="FF1F497D"/>
      <name val="Century Gothic"/>
      <family val="2"/>
    </font>
    <font>
      <sz val="10"/>
      <color rgb="FF000000"/>
      <name val="Calibri"/>
      <family val="2"/>
    </font>
    <font>
      <b/>
      <sz val="11"/>
      <color rgb="FF000000"/>
      <name val="Century Gothic"/>
      <family val="2"/>
    </font>
    <font>
      <b/>
      <i/>
      <sz val="11"/>
      <color rgb="FF000000"/>
      <name val="Century Gothic"/>
      <family val="2"/>
    </font>
    <font>
      <i/>
      <sz val="11"/>
      <color rgb="FF000000"/>
      <name val="Century Gothic"/>
      <family val="2"/>
    </font>
    <font>
      <u/>
      <sz val="11"/>
      <color rgb="FF000000"/>
      <name val="Century Gothic"/>
      <family val="2"/>
    </font>
    <font>
      <b/>
      <sz val="20"/>
      <color rgb="FFFF0000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b/>
      <sz val="9"/>
      <name val="Calibri"/>
      <family val="2"/>
    </font>
    <font>
      <sz val="9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color rgb="FF00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6D9F1"/>
        <bgColor rgb="FFC0C0C0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7" fillId="0" borderId="0" applyBorder="0" applyProtection="0"/>
    <xf numFmtId="0" fontId="1" fillId="0" borderId="0"/>
  </cellStyleXfs>
  <cellXfs count="99">
    <xf numFmtId="0" fontId="0" fillId="0" borderId="0" xfId="0"/>
    <xf numFmtId="0" fontId="0" fillId="2" borderId="0" xfId="0" applyFill="1"/>
    <xf numFmtId="0" fontId="2" fillId="2" borderId="0" xfId="0" applyFont="1" applyFill="1" applyProtection="1">
      <protection hidden="1"/>
    </xf>
    <xf numFmtId="0" fontId="3" fillId="2" borderId="0" xfId="0" applyFont="1" applyFill="1" applyProtection="1">
      <protection hidden="1"/>
    </xf>
    <xf numFmtId="0" fontId="4" fillId="2" borderId="0" xfId="0" applyFont="1" applyFill="1" applyProtection="1">
      <protection hidden="1"/>
    </xf>
    <xf numFmtId="0" fontId="6" fillId="2" borderId="0" xfId="0" applyFont="1" applyFill="1"/>
    <xf numFmtId="0" fontId="2" fillId="2" borderId="0" xfId="0" applyFont="1" applyFill="1" applyProtection="1">
      <protection locked="0" hidden="1"/>
    </xf>
    <xf numFmtId="0" fontId="2" fillId="2" borderId="1" xfId="0" applyFont="1" applyFill="1" applyBorder="1" applyProtection="1"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2" borderId="4" xfId="0" applyFont="1" applyFill="1" applyBorder="1" applyProtection="1">
      <protection hidden="1"/>
    </xf>
    <xf numFmtId="0" fontId="2" fillId="2" borderId="5" xfId="0" applyFont="1" applyFill="1" applyBorder="1" applyProtection="1"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2" fillId="2" borderId="8" xfId="0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8" fillId="2" borderId="0" xfId="0" applyFont="1" applyFill="1" applyProtection="1">
      <protection hidden="1"/>
    </xf>
    <xf numFmtId="0" fontId="9" fillId="2" borderId="0" xfId="0" applyFont="1" applyFill="1" applyProtection="1">
      <protection hidden="1"/>
    </xf>
    <xf numFmtId="0" fontId="10" fillId="2" borderId="0" xfId="0" applyFont="1" applyFill="1" applyProtection="1">
      <protection hidden="1"/>
    </xf>
    <xf numFmtId="0" fontId="12" fillId="3" borderId="3" xfId="2" applyFont="1" applyFill="1" applyBorder="1" applyAlignment="1">
      <alignment horizontal="center"/>
    </xf>
    <xf numFmtId="0" fontId="13" fillId="2" borderId="2" xfId="2" applyFont="1" applyFill="1" applyBorder="1"/>
    <xf numFmtId="0" fontId="1" fillId="2" borderId="2" xfId="2" applyFill="1" applyBorder="1"/>
    <xf numFmtId="0" fontId="0" fillId="2" borderId="2" xfId="0" applyFill="1" applyBorder="1"/>
    <xf numFmtId="0" fontId="0" fillId="2" borderId="3" xfId="0" applyFill="1" applyBorder="1"/>
    <xf numFmtId="0" fontId="12" fillId="3" borderId="5" xfId="2" applyFont="1" applyFill="1" applyBorder="1" applyAlignment="1">
      <alignment horizontal="center"/>
    </xf>
    <xf numFmtId="0" fontId="13" fillId="2" borderId="0" xfId="2" applyFont="1" applyFill="1"/>
    <xf numFmtId="0" fontId="15" fillId="2" borderId="0" xfId="2" applyFont="1" applyFill="1"/>
    <xf numFmtId="0" fontId="1" fillId="2" borderId="0" xfId="2" applyFill="1"/>
    <xf numFmtId="0" fontId="0" fillId="2" borderId="5" xfId="0" applyFill="1" applyBorder="1"/>
    <xf numFmtId="0" fontId="13" fillId="3" borderId="5" xfId="2" applyFont="1" applyFill="1" applyBorder="1" applyAlignment="1">
      <alignment horizontal="center"/>
    </xf>
    <xf numFmtId="164" fontId="1" fillId="3" borderId="6" xfId="1" applyFont="1" applyFill="1" applyBorder="1" applyProtection="1"/>
    <xf numFmtId="0" fontId="1" fillId="3" borderId="8" xfId="2" applyFill="1" applyBorder="1"/>
    <xf numFmtId="0" fontId="13" fillId="2" borderId="7" xfId="2" applyFont="1" applyFill="1" applyBorder="1"/>
    <xf numFmtId="0" fontId="1" fillId="2" borderId="7" xfId="2" applyFill="1" applyBorder="1"/>
    <xf numFmtId="0" fontId="0" fillId="2" borderId="7" xfId="0" applyFill="1" applyBorder="1"/>
    <xf numFmtId="0" fontId="0" fillId="2" borderId="8" xfId="0" applyFill="1" applyBorder="1"/>
    <xf numFmtId="164" fontId="1" fillId="2" borderId="0" xfId="1" applyFont="1" applyFill="1" applyBorder="1" applyProtection="1"/>
    <xf numFmtId="0" fontId="13" fillId="2" borderId="11" xfId="2" applyFont="1" applyFill="1" applyBorder="1" applyAlignment="1">
      <alignment horizontal="center" vertical="center"/>
    </xf>
    <xf numFmtId="0" fontId="13" fillId="2" borderId="11" xfId="2" applyFont="1" applyFill="1" applyBorder="1" applyAlignment="1">
      <alignment horizontal="center" vertical="center" wrapText="1"/>
    </xf>
    <xf numFmtId="164" fontId="13" fillId="2" borderId="11" xfId="1" applyFont="1" applyFill="1" applyBorder="1" applyAlignment="1" applyProtection="1">
      <alignment horizontal="center" vertical="center" wrapText="1"/>
    </xf>
    <xf numFmtId="14" fontId="13" fillId="2" borderId="11" xfId="2" applyNumberFormat="1" applyFont="1" applyFill="1" applyBorder="1" applyAlignment="1">
      <alignment horizontal="center" vertical="center" wrapText="1"/>
    </xf>
    <xf numFmtId="14" fontId="13" fillId="2" borderId="11" xfId="2" applyNumberFormat="1" applyFont="1" applyFill="1" applyBorder="1" applyAlignment="1">
      <alignment horizontal="center" vertical="center"/>
    </xf>
    <xf numFmtId="0" fontId="1" fillId="2" borderId="11" xfId="2" applyFill="1" applyBorder="1"/>
    <xf numFmtId="0" fontId="15" fillId="2" borderId="11" xfId="2" applyFont="1" applyFill="1" applyBorder="1" applyAlignment="1">
      <alignment horizontal="center"/>
    </xf>
    <xf numFmtId="164" fontId="15" fillId="2" borderId="11" xfId="1" applyFont="1" applyFill="1" applyBorder="1" applyProtection="1"/>
    <xf numFmtId="0" fontId="0" fillId="2" borderId="11" xfId="0" applyFill="1" applyBorder="1"/>
    <xf numFmtId="0" fontId="13" fillId="2" borderId="11" xfId="2" applyFont="1" applyFill="1" applyBorder="1" applyAlignment="1">
      <alignment vertical="center"/>
    </xf>
    <xf numFmtId="0" fontId="13" fillId="2" borderId="0" xfId="2" applyFont="1" applyFill="1" applyAlignment="1">
      <alignment horizontal="center" vertical="center"/>
    </xf>
    <xf numFmtId="0" fontId="13" fillId="3" borderId="4" xfId="2" applyFont="1" applyFill="1" applyBorder="1" applyAlignment="1">
      <alignment horizontal="center"/>
    </xf>
    <xf numFmtId="0" fontId="18" fillId="2" borderId="0" xfId="2" applyFont="1" applyFill="1"/>
    <xf numFmtId="0" fontId="19" fillId="2" borderId="0" xfId="2" applyFont="1" applyFill="1"/>
    <xf numFmtId="0" fontId="19" fillId="2" borderId="11" xfId="2" applyFont="1" applyFill="1" applyBorder="1" applyAlignment="1">
      <alignment horizontal="center" vertical="center"/>
    </xf>
    <xf numFmtId="0" fontId="19" fillId="2" borderId="11" xfId="2" quotePrefix="1" applyFont="1" applyFill="1" applyBorder="1" applyAlignment="1">
      <alignment horizontal="center" vertical="center" wrapText="1"/>
    </xf>
    <xf numFmtId="0" fontId="20" fillId="2" borderId="0" xfId="0" applyFont="1" applyFill="1" applyProtection="1">
      <protection locked="0" hidden="1"/>
    </xf>
    <xf numFmtId="0" fontId="20" fillId="2" borderId="7" xfId="0" applyFont="1" applyFill="1" applyBorder="1" applyProtection="1">
      <protection locked="0" hidden="1"/>
    </xf>
    <xf numFmtId="0" fontId="20" fillId="2" borderId="2" xfId="0" applyFont="1" applyFill="1" applyBorder="1" applyProtection="1">
      <protection locked="0" hidden="1"/>
    </xf>
    <xf numFmtId="166" fontId="2" fillId="2" borderId="10" xfId="0" applyNumberFormat="1" applyFont="1" applyFill="1" applyBorder="1" applyProtection="1">
      <protection hidden="1"/>
    </xf>
    <xf numFmtId="164" fontId="16" fillId="3" borderId="4" xfId="1" applyFont="1" applyFill="1" applyBorder="1" applyAlignment="1" applyProtection="1">
      <alignment horizontal="center" wrapText="1"/>
    </xf>
    <xf numFmtId="0" fontId="19" fillId="2" borderId="11" xfId="2" applyFont="1" applyFill="1" applyBorder="1"/>
    <xf numFmtId="3" fontId="19" fillId="2" borderId="11" xfId="2" applyNumberFormat="1" applyFont="1" applyFill="1" applyBorder="1" applyAlignment="1">
      <alignment vertical="center" wrapText="1"/>
    </xf>
    <xf numFmtId="164" fontId="19" fillId="2" borderId="11" xfId="1" applyFont="1" applyFill="1" applyBorder="1" applyAlignment="1" applyProtection="1">
      <alignment horizontal="center" vertical="center" wrapText="1"/>
    </xf>
    <xf numFmtId="0" fontId="20" fillId="2" borderId="0" xfId="0" applyFont="1" applyFill="1" applyProtection="1">
      <protection hidden="1"/>
    </xf>
    <xf numFmtId="17" fontId="0" fillId="2" borderId="0" xfId="0" applyNumberFormat="1" applyFill="1"/>
    <xf numFmtId="3" fontId="19" fillId="2" borderId="11" xfId="2" quotePrefix="1" applyNumberFormat="1" applyFont="1" applyFill="1" applyBorder="1" applyAlignment="1">
      <alignment horizontal="center" vertical="center" wrapText="1"/>
    </xf>
    <xf numFmtId="164" fontId="13" fillId="0" borderId="11" xfId="1" applyFont="1" applyBorder="1" applyAlignment="1" applyProtection="1">
      <alignment horizontal="center" vertical="center" wrapText="1"/>
    </xf>
    <xf numFmtId="164" fontId="19" fillId="0" borderId="10" xfId="2" applyNumberFormat="1" applyFont="1" applyBorder="1" applyAlignment="1">
      <alignment vertical="center" wrapText="1"/>
    </xf>
    <xf numFmtId="0" fontId="1" fillId="0" borderId="0" xfId="2"/>
    <xf numFmtId="0" fontId="1" fillId="0" borderId="2" xfId="2" applyBorder="1"/>
    <xf numFmtId="0" fontId="1" fillId="0" borderId="7" xfId="2" applyBorder="1"/>
    <xf numFmtId="0" fontId="15" fillId="0" borderId="0" xfId="2" applyFont="1"/>
    <xf numFmtId="0" fontId="13" fillId="2" borderId="15" xfId="2" applyFont="1" applyFill="1" applyBorder="1" applyAlignment="1">
      <alignment horizontal="center" vertical="center"/>
    </xf>
    <xf numFmtId="14" fontId="15" fillId="2" borderId="0" xfId="2" applyNumberFormat="1" applyFont="1" applyFill="1"/>
    <xf numFmtId="164" fontId="19" fillId="0" borderId="11" xfId="1" applyFont="1" applyBorder="1" applyAlignment="1" applyProtection="1">
      <alignment horizontal="center" vertical="center" wrapText="1"/>
    </xf>
    <xf numFmtId="164" fontId="2" fillId="2" borderId="9" xfId="1" applyFont="1" applyFill="1" applyBorder="1" applyProtection="1">
      <protection hidden="1"/>
    </xf>
    <xf numFmtId="164" fontId="2" fillId="2" borderId="9" xfId="1" applyFont="1" applyFill="1" applyBorder="1" applyProtection="1">
      <protection locked="0" hidden="1"/>
    </xf>
    <xf numFmtId="164" fontId="7" fillId="2" borderId="9" xfId="1" applyFont="1" applyFill="1" applyBorder="1" applyProtection="1">
      <protection hidden="1"/>
    </xf>
    <xf numFmtId="165" fontId="2" fillId="2" borderId="0" xfId="0" applyNumberFormat="1" applyFont="1" applyFill="1" applyAlignment="1" applyProtection="1">
      <alignment horizontal="left"/>
      <protection locked="0" hidden="1"/>
    </xf>
    <xf numFmtId="164" fontId="16" fillId="3" borderId="4" xfId="1" applyFont="1" applyFill="1" applyBorder="1" applyAlignment="1" applyProtection="1">
      <alignment horizontal="center"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5" fillId="2" borderId="0" xfId="0" applyFont="1" applyFill="1" applyAlignment="1" applyProtection="1">
      <alignment horizontal="center"/>
      <protection hidden="1"/>
    </xf>
    <xf numFmtId="0" fontId="13" fillId="2" borderId="12" xfId="2" applyFont="1" applyFill="1" applyBorder="1" applyAlignment="1">
      <alignment horizontal="center" vertical="center" wrapText="1"/>
    </xf>
    <xf numFmtId="0" fontId="13" fillId="2" borderId="13" xfId="2" applyFont="1" applyFill="1" applyBorder="1" applyAlignment="1">
      <alignment horizontal="center" vertical="center" wrapText="1"/>
    </xf>
    <xf numFmtId="0" fontId="13" fillId="2" borderId="14" xfId="2" applyFont="1" applyFill="1" applyBorder="1" applyAlignment="1">
      <alignment horizontal="center" vertical="center" wrapText="1"/>
    </xf>
    <xf numFmtId="0" fontId="13" fillId="2" borderId="11" xfId="2" applyFont="1" applyFill="1" applyBorder="1" applyAlignment="1">
      <alignment horizontal="center" vertical="center" wrapText="1"/>
    </xf>
    <xf numFmtId="0" fontId="13" fillId="2" borderId="12" xfId="2" applyFont="1" applyFill="1" applyBorder="1" applyAlignment="1">
      <alignment horizontal="center" vertical="center"/>
    </xf>
    <xf numFmtId="0" fontId="13" fillId="2" borderId="14" xfId="2" applyFont="1" applyFill="1" applyBorder="1" applyAlignment="1">
      <alignment horizontal="center" vertical="center"/>
    </xf>
    <xf numFmtId="0" fontId="13" fillId="2" borderId="13" xfId="2" applyFont="1" applyFill="1" applyBorder="1" applyAlignment="1">
      <alignment horizontal="center" vertical="center"/>
    </xf>
    <xf numFmtId="0" fontId="13" fillId="2" borderId="9" xfId="2" applyFont="1" applyFill="1" applyBorder="1" applyAlignment="1">
      <alignment horizontal="center" vertical="center"/>
    </xf>
    <xf numFmtId="0" fontId="13" fillId="2" borderId="10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/>
    </xf>
    <xf numFmtId="0" fontId="11" fillId="3" borderId="4" xfId="2" applyFont="1" applyFill="1" applyBorder="1" applyAlignment="1">
      <alignment horizontal="center"/>
    </xf>
    <xf numFmtId="0" fontId="19" fillId="2" borderId="11" xfId="2" applyFont="1" applyFill="1" applyBorder="1" applyAlignment="1">
      <alignment horizontal="center" vertical="center"/>
    </xf>
    <xf numFmtId="0" fontId="13" fillId="2" borderId="11" xfId="2" applyFont="1" applyFill="1" applyBorder="1" applyAlignment="1">
      <alignment horizontal="center" vertical="center"/>
    </xf>
    <xf numFmtId="0" fontId="13" fillId="2" borderId="12" xfId="2" applyFont="1" applyFill="1" applyBorder="1" applyAlignment="1">
      <alignment horizontal="center" vertical="center" wrapText="1" readingOrder="1"/>
    </xf>
    <xf numFmtId="0" fontId="13" fillId="2" borderId="13" xfId="2" applyFont="1" applyFill="1" applyBorder="1" applyAlignment="1">
      <alignment horizontal="center" vertical="center" wrapText="1" readingOrder="1"/>
    </xf>
    <xf numFmtId="0" fontId="13" fillId="2" borderId="14" xfId="2" applyFont="1" applyFill="1" applyBorder="1" applyAlignment="1">
      <alignment horizontal="center" vertical="center" wrapText="1" readingOrder="1"/>
    </xf>
    <xf numFmtId="164" fontId="13" fillId="0" borderId="12" xfId="1" applyFont="1" applyBorder="1" applyAlignment="1" applyProtection="1">
      <alignment horizontal="center" vertical="center" wrapText="1"/>
    </xf>
    <xf numFmtId="164" fontId="13" fillId="0" borderId="14" xfId="1" applyFont="1" applyBorder="1" applyAlignment="1" applyProtection="1">
      <alignment horizontal="center" vertical="center" wrapText="1"/>
    </xf>
  </cellXfs>
  <cellStyles count="3">
    <cellStyle name="Milliers" xfId="1" builtinId="3"/>
    <cellStyle name="Normal" xfId="0" builtinId="0"/>
    <cellStyle name="Normal_Copie de DECLARAT° AMIT&amp;CNAPS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BA044-0141-4808-ACCC-4851E7AA65BF}">
  <dimension ref="A1:AMJ54"/>
  <sheetViews>
    <sheetView view="pageBreakPreview" topLeftCell="A32" zoomScaleNormal="100" zoomScaleSheetLayoutView="100" workbookViewId="0">
      <selection activeCell="B15" sqref="B15"/>
    </sheetView>
  </sheetViews>
  <sheetFormatPr baseColWidth="10" defaultColWidth="11.5703125" defaultRowHeight="15"/>
  <cols>
    <col min="1" max="1" width="17.5703125" style="1" customWidth="1"/>
    <col min="2" max="5" width="11.5703125" style="1"/>
    <col min="6" max="6" width="6.140625" style="1" customWidth="1"/>
    <col min="7" max="7" width="21" style="1" customWidth="1"/>
    <col min="8" max="8" width="14.140625" style="1" customWidth="1"/>
    <col min="9" max="1024" width="11.5703125" style="1"/>
  </cols>
  <sheetData>
    <row r="1" spans="1:8" ht="14.25" customHeight="1">
      <c r="A1" s="2"/>
      <c r="B1" s="2"/>
      <c r="C1" s="2"/>
      <c r="D1" s="2"/>
      <c r="E1" s="2"/>
      <c r="F1" s="2"/>
      <c r="G1" s="2"/>
    </row>
    <row r="2" spans="1:8" ht="34.5" customHeight="1">
      <c r="A2" s="77" t="s">
        <v>45</v>
      </c>
      <c r="B2" s="78"/>
      <c r="C2" s="2"/>
      <c r="D2" s="2"/>
      <c r="E2" s="2"/>
      <c r="F2" s="2"/>
      <c r="G2" s="2"/>
    </row>
    <row r="3" spans="1:8" ht="16.5">
      <c r="A3" s="79"/>
      <c r="B3" s="78"/>
      <c r="C3" s="2"/>
      <c r="D3" s="2"/>
      <c r="E3" s="2"/>
      <c r="F3" s="2"/>
      <c r="G3" s="2"/>
    </row>
    <row r="4" spans="1:8" ht="16.5">
      <c r="A4" s="2"/>
      <c r="B4" s="3"/>
      <c r="C4" s="2"/>
      <c r="D4" s="2"/>
      <c r="E4" s="2"/>
      <c r="F4" s="2"/>
      <c r="G4" s="2"/>
    </row>
    <row r="5" spans="1:8">
      <c r="A5" s="4"/>
      <c r="B5" s="4"/>
      <c r="C5" s="80" t="s">
        <v>0</v>
      </c>
      <c r="D5" s="80"/>
      <c r="E5" s="80"/>
      <c r="F5" s="80"/>
      <c r="G5" s="80"/>
      <c r="H5" s="5"/>
    </row>
    <row r="7" spans="1:8" ht="16.5">
      <c r="D7" s="2" t="s">
        <v>81</v>
      </c>
      <c r="E7" s="62" t="s">
        <v>82</v>
      </c>
    </row>
    <row r="8" spans="1:8" ht="16.5">
      <c r="A8" s="2"/>
      <c r="B8" s="2"/>
      <c r="D8" s="6"/>
      <c r="E8" s="2"/>
      <c r="F8" s="2"/>
      <c r="G8" s="2"/>
    </row>
    <row r="9" spans="1:8" ht="16.5">
      <c r="A9" s="2"/>
      <c r="B9" s="2"/>
      <c r="C9" s="2"/>
      <c r="D9" s="2"/>
      <c r="E9" s="2"/>
      <c r="F9" s="2"/>
      <c r="G9" s="2"/>
    </row>
    <row r="10" spans="1:8" ht="16.5">
      <c r="A10" s="7" t="s">
        <v>1</v>
      </c>
      <c r="B10" s="8"/>
      <c r="C10" s="55" t="s">
        <v>41</v>
      </c>
      <c r="D10" s="8"/>
      <c r="E10" s="8"/>
      <c r="F10" s="8"/>
      <c r="G10" s="9"/>
    </row>
    <row r="11" spans="1:8" ht="16.5">
      <c r="A11" s="10" t="s">
        <v>2</v>
      </c>
      <c r="B11" s="2"/>
      <c r="C11" s="53" t="s">
        <v>42</v>
      </c>
      <c r="D11" s="2"/>
      <c r="E11" s="2"/>
      <c r="F11" s="2"/>
      <c r="G11" s="11"/>
    </row>
    <row r="12" spans="1:8" ht="16.5">
      <c r="A12" s="10" t="s">
        <v>3</v>
      </c>
      <c r="B12" s="2"/>
      <c r="C12" s="6" t="s">
        <v>30</v>
      </c>
      <c r="D12" s="2"/>
      <c r="E12" s="2"/>
      <c r="F12" s="2"/>
      <c r="G12" s="11"/>
    </row>
    <row r="13" spans="1:8" ht="16.5">
      <c r="A13" s="10" t="s">
        <v>4</v>
      </c>
      <c r="B13" s="2"/>
      <c r="C13" s="53" t="s">
        <v>39</v>
      </c>
      <c r="D13" s="2"/>
      <c r="E13" s="2"/>
      <c r="F13" s="2"/>
      <c r="G13" s="11"/>
    </row>
    <row r="14" spans="1:8" ht="16.5">
      <c r="A14" s="12" t="s">
        <v>5</v>
      </c>
      <c r="B14" s="13"/>
      <c r="C14" s="54" t="s">
        <v>40</v>
      </c>
      <c r="D14" s="13"/>
      <c r="E14" s="13"/>
      <c r="F14" s="13"/>
      <c r="G14" s="14"/>
    </row>
    <row r="15" spans="1:8" ht="16.5">
      <c r="A15" s="2"/>
      <c r="B15" s="2"/>
      <c r="C15" s="2"/>
      <c r="D15" s="2"/>
      <c r="E15" s="2"/>
      <c r="F15" s="2"/>
      <c r="G15" s="2"/>
    </row>
    <row r="16" spans="1:8" ht="16.5">
      <c r="A16" s="2"/>
      <c r="B16" s="2"/>
      <c r="C16" s="2"/>
      <c r="D16" s="2"/>
      <c r="E16" s="2"/>
      <c r="F16" s="2"/>
      <c r="G16" s="2"/>
    </row>
    <row r="17" spans="1:7" ht="16.5">
      <c r="A17" s="2" t="s">
        <v>6</v>
      </c>
      <c r="B17" s="2"/>
      <c r="C17" s="2"/>
      <c r="D17" s="2"/>
      <c r="E17" s="73"/>
      <c r="F17" s="73"/>
      <c r="G17" s="15">
        <v>13</v>
      </c>
    </row>
    <row r="18" spans="1:7" ht="16.5">
      <c r="A18" s="2"/>
      <c r="B18" s="2"/>
      <c r="C18" s="2"/>
      <c r="D18" s="2"/>
      <c r="E18" s="2"/>
      <c r="F18" s="2"/>
      <c r="G18" s="2"/>
    </row>
    <row r="19" spans="1:7" ht="16.5">
      <c r="A19" s="2" t="s">
        <v>7</v>
      </c>
      <c r="B19" s="2"/>
      <c r="C19" s="2"/>
      <c r="D19" s="2"/>
      <c r="E19" s="73"/>
      <c r="F19" s="73"/>
      <c r="G19" s="56">
        <v>20064000</v>
      </c>
    </row>
    <row r="20" spans="1:7" ht="16.5">
      <c r="A20" s="2"/>
      <c r="B20" s="2"/>
      <c r="C20" s="2"/>
      <c r="D20" s="2"/>
      <c r="E20" s="2"/>
      <c r="F20" s="2"/>
      <c r="G20" s="2"/>
    </row>
    <row r="21" spans="1:7" ht="16.5">
      <c r="A21" s="2" t="s">
        <v>8</v>
      </c>
      <c r="B21" s="2"/>
      <c r="C21" s="2"/>
      <c r="D21" s="2"/>
      <c r="E21" s="73"/>
      <c r="F21" s="73"/>
      <c r="G21" s="56">
        <f>G19*0.05</f>
        <v>1003200</v>
      </c>
    </row>
    <row r="22" spans="1:7" ht="16.5">
      <c r="A22" s="2"/>
      <c r="B22" s="2"/>
      <c r="C22" s="2"/>
      <c r="D22" s="2"/>
      <c r="E22" s="2"/>
      <c r="F22" s="2"/>
      <c r="G22" s="2"/>
    </row>
    <row r="23" spans="1:7" ht="16.5">
      <c r="A23" s="2" t="s">
        <v>9</v>
      </c>
      <c r="B23" s="2"/>
      <c r="C23" s="2"/>
      <c r="D23" s="2"/>
      <c r="E23" s="73"/>
      <c r="F23" s="73"/>
      <c r="G23" s="56">
        <f>G19*0.01</f>
        <v>200640</v>
      </c>
    </row>
    <row r="24" spans="1:7" ht="16.5">
      <c r="A24" s="2"/>
      <c r="B24" s="2"/>
      <c r="C24" s="2"/>
      <c r="D24" s="2"/>
      <c r="E24" s="2"/>
      <c r="F24" s="2"/>
      <c r="G24" s="2"/>
    </row>
    <row r="25" spans="1:7" ht="16.5">
      <c r="A25" s="2" t="s">
        <v>10</v>
      </c>
      <c r="B25" s="2"/>
      <c r="C25" s="2"/>
      <c r="D25" s="2"/>
      <c r="E25" s="73"/>
      <c r="F25" s="73"/>
      <c r="G25" s="56">
        <f>G21+G23</f>
        <v>1203840</v>
      </c>
    </row>
    <row r="26" spans="1:7" ht="16.5">
      <c r="A26" s="2"/>
      <c r="B26" s="2"/>
      <c r="C26" s="2"/>
      <c r="D26" s="2"/>
      <c r="E26" s="2"/>
      <c r="F26" s="2"/>
      <c r="G26" s="2"/>
    </row>
    <row r="27" spans="1:7" ht="16.5">
      <c r="A27" s="2" t="s">
        <v>11</v>
      </c>
      <c r="B27" s="2"/>
      <c r="C27" s="2"/>
      <c r="D27" s="2"/>
      <c r="E27" s="74"/>
      <c r="F27" s="74"/>
      <c r="G27" s="15">
        <v>0</v>
      </c>
    </row>
    <row r="28" spans="1:7" ht="16.5">
      <c r="A28" s="2"/>
      <c r="B28" s="2"/>
      <c r="C28" s="2"/>
      <c r="D28" s="2"/>
      <c r="E28" s="2"/>
      <c r="F28" s="2"/>
      <c r="G28" s="2"/>
    </row>
    <row r="29" spans="1:7" ht="16.5">
      <c r="A29" s="2" t="s">
        <v>12</v>
      </c>
      <c r="B29" s="2"/>
      <c r="C29" s="2"/>
      <c r="D29" s="2"/>
      <c r="E29" s="74"/>
      <c r="F29" s="74"/>
      <c r="G29" s="15">
        <v>0</v>
      </c>
    </row>
    <row r="30" spans="1:7" ht="16.5">
      <c r="A30" s="2"/>
      <c r="B30" s="2"/>
      <c r="C30" s="2"/>
      <c r="D30" s="2"/>
      <c r="E30" s="2"/>
      <c r="F30" s="2"/>
      <c r="G30" s="2"/>
    </row>
    <row r="31" spans="1:7" ht="16.5">
      <c r="A31" s="2" t="s">
        <v>13</v>
      </c>
      <c r="B31" s="2"/>
      <c r="C31" s="2"/>
      <c r="D31" s="2"/>
      <c r="E31" s="75"/>
      <c r="F31" s="75"/>
      <c r="G31" s="56">
        <f>G25</f>
        <v>1203840</v>
      </c>
    </row>
    <row r="32" spans="1:7" ht="16.5">
      <c r="A32" s="2"/>
      <c r="B32" s="2"/>
      <c r="C32" s="2"/>
      <c r="D32" s="2"/>
      <c r="E32" s="2"/>
      <c r="F32" s="2"/>
      <c r="G32" s="2"/>
    </row>
    <row r="33" spans="1:8" ht="16.5">
      <c r="A33" s="2"/>
      <c r="B33" s="2"/>
      <c r="C33" s="2"/>
      <c r="D33" s="2"/>
      <c r="E33" s="2"/>
      <c r="F33" s="2"/>
      <c r="G33" s="2"/>
    </row>
    <row r="34" spans="1:8" ht="16.5">
      <c r="A34" s="2"/>
      <c r="B34" s="2"/>
      <c r="G34" s="2"/>
    </row>
    <row r="35" spans="1:8" ht="16.5">
      <c r="A35" s="2"/>
      <c r="B35" s="2"/>
      <c r="G35" s="2"/>
    </row>
    <row r="36" spans="1:8" ht="16.5">
      <c r="A36" s="2"/>
      <c r="B36" s="2"/>
      <c r="G36" s="2"/>
    </row>
    <row r="37" spans="1:8" ht="16.5">
      <c r="A37" s="2"/>
      <c r="B37" s="2"/>
      <c r="D37" s="61" t="s">
        <v>70</v>
      </c>
      <c r="E37" s="2"/>
      <c r="F37" s="76">
        <v>45937</v>
      </c>
      <c r="G37" s="76"/>
      <c r="H37" s="71"/>
    </row>
    <row r="38" spans="1:8" ht="16.5">
      <c r="A38" s="2"/>
      <c r="B38" s="2"/>
      <c r="D38" s="2"/>
      <c r="E38" s="2"/>
      <c r="F38" s="2"/>
      <c r="G38" s="2"/>
    </row>
    <row r="39" spans="1:8" ht="16.5">
      <c r="A39" s="2"/>
      <c r="B39" s="2"/>
      <c r="C39" s="2"/>
      <c r="D39" s="16" t="s">
        <v>14</v>
      </c>
      <c r="E39" s="17"/>
      <c r="F39" s="17"/>
      <c r="G39" s="17"/>
    </row>
    <row r="40" spans="1:8" ht="16.5">
      <c r="A40" s="2"/>
      <c r="B40" s="2"/>
      <c r="C40" s="2"/>
      <c r="D40" s="2"/>
      <c r="E40" s="2"/>
      <c r="F40" s="2"/>
      <c r="G40" s="2"/>
    </row>
    <row r="41" spans="1:8" ht="16.5">
      <c r="A41" s="2"/>
      <c r="B41" s="2"/>
      <c r="C41" s="2"/>
      <c r="D41" s="17" t="s">
        <v>15</v>
      </c>
      <c r="E41" s="2"/>
      <c r="F41" s="2"/>
      <c r="G41" s="2"/>
    </row>
    <row r="42" spans="1:8" ht="16.5">
      <c r="A42" s="2"/>
      <c r="B42" s="2"/>
      <c r="C42" s="2"/>
      <c r="D42" s="2"/>
      <c r="E42" s="2"/>
      <c r="F42" s="2"/>
      <c r="G42" s="2"/>
    </row>
    <row r="43" spans="1:8" ht="16.5">
      <c r="A43" s="2"/>
      <c r="B43" s="2"/>
      <c r="C43" s="2"/>
      <c r="D43" s="2"/>
      <c r="E43" s="2"/>
      <c r="F43" s="2"/>
      <c r="G43" s="2"/>
    </row>
    <row r="44" spans="1:8" ht="16.5">
      <c r="A44" s="2"/>
      <c r="B44" s="2"/>
      <c r="C44" s="2"/>
      <c r="D44" s="2"/>
      <c r="E44" s="2"/>
      <c r="F44" s="2"/>
      <c r="G44" s="2"/>
    </row>
    <row r="49" spans="1:7" ht="16.5">
      <c r="A49" s="18"/>
      <c r="B49" s="2"/>
      <c r="C49" s="2"/>
      <c r="D49" s="2"/>
      <c r="E49" s="2"/>
      <c r="F49" s="2"/>
      <c r="G49" s="2"/>
    </row>
    <row r="50" spans="1:7" ht="16.5">
      <c r="A50" s="2"/>
      <c r="B50" s="2"/>
      <c r="C50" s="2"/>
      <c r="D50" s="2"/>
      <c r="E50" s="2"/>
      <c r="F50" s="2"/>
      <c r="G50" s="2"/>
    </row>
    <row r="51" spans="1:7" ht="16.5">
      <c r="A51" s="2"/>
      <c r="B51" s="2"/>
      <c r="C51" s="2"/>
      <c r="D51" s="2"/>
      <c r="E51" s="2"/>
      <c r="F51" s="2"/>
      <c r="G51" s="2"/>
    </row>
    <row r="52" spans="1:7" ht="16.5">
      <c r="A52" s="2"/>
      <c r="B52" s="2"/>
      <c r="C52" s="2"/>
      <c r="D52" s="2"/>
      <c r="E52" s="2"/>
      <c r="F52" s="2"/>
      <c r="G52" s="2"/>
    </row>
    <row r="53" spans="1:7" ht="16.5">
      <c r="A53" s="2"/>
      <c r="B53" s="2"/>
      <c r="C53" s="2"/>
      <c r="D53" s="2"/>
      <c r="E53" s="2"/>
      <c r="F53" s="2"/>
      <c r="G53" s="2"/>
    </row>
    <row r="54" spans="1:7" ht="16.5">
      <c r="A54" s="2"/>
      <c r="B54" s="2"/>
      <c r="C54" s="2"/>
      <c r="D54" s="2"/>
      <c r="E54" s="2"/>
      <c r="F54" s="2"/>
      <c r="G54" s="2"/>
    </row>
  </sheetData>
  <mergeCells count="11">
    <mergeCell ref="E23:F23"/>
    <mergeCell ref="A2:B3"/>
    <mergeCell ref="C5:G5"/>
    <mergeCell ref="E17:F17"/>
    <mergeCell ref="E19:F19"/>
    <mergeCell ref="E21:F21"/>
    <mergeCell ref="E25:F25"/>
    <mergeCell ref="E27:F27"/>
    <mergeCell ref="E29:F29"/>
    <mergeCell ref="E31:F31"/>
    <mergeCell ref="F37:G37"/>
  </mergeCells>
  <pageMargins left="0.59027777777777801" right="0" top="0" bottom="0" header="0.511811023622047" footer="0.511811023622047"/>
  <pageSetup paperSize="9" scale="91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5403-A133-4AAA-BBE1-65BFF200B816}">
  <dimension ref="A1:AML42"/>
  <sheetViews>
    <sheetView tabSelected="1" view="pageBreakPreview" zoomScale="97" zoomScaleNormal="79" zoomScaleSheetLayoutView="100" workbookViewId="0">
      <selection activeCell="L16" sqref="L16"/>
    </sheetView>
  </sheetViews>
  <sheetFormatPr baseColWidth="10" defaultColWidth="11.5703125" defaultRowHeight="15"/>
  <cols>
    <col min="1" max="1" width="32.7109375" style="1" customWidth="1"/>
    <col min="2" max="2" width="10.28515625" style="1" customWidth="1"/>
    <col min="3" max="3" width="21" style="1" customWidth="1"/>
    <col min="4" max="4" width="15" style="1" customWidth="1"/>
    <col min="5" max="5" width="11" style="1" hidden="1" customWidth="1"/>
    <col min="6" max="6" width="9" style="1" hidden="1" customWidth="1"/>
    <col min="7" max="8" width="15.42578125" style="1" customWidth="1"/>
    <col min="9" max="9" width="15.5703125" customWidth="1"/>
    <col min="10" max="10" width="11.5703125" style="1" hidden="1" customWidth="1"/>
    <col min="11" max="11" width="16.7109375" style="1" customWidth="1"/>
    <col min="12" max="14" width="15.85546875" style="1" customWidth="1"/>
    <col min="15" max="15" width="16.7109375" style="1" customWidth="1"/>
    <col min="16" max="1026" width="11.5703125" style="1"/>
  </cols>
  <sheetData>
    <row r="1" spans="1:16" ht="14.25" customHeight="1">
      <c r="A1" s="90" t="s">
        <v>44</v>
      </c>
      <c r="B1" s="19"/>
      <c r="C1" s="20" t="s">
        <v>31</v>
      </c>
      <c r="D1" s="21"/>
      <c r="E1" s="21"/>
      <c r="F1" s="21"/>
      <c r="G1" s="21"/>
      <c r="H1" s="21"/>
      <c r="I1" s="67"/>
      <c r="J1" s="22"/>
      <c r="K1" s="22"/>
      <c r="L1" s="22"/>
      <c r="M1" s="22"/>
      <c r="N1" s="22"/>
      <c r="O1" s="23"/>
    </row>
    <row r="2" spans="1:16" ht="20.25" customHeight="1">
      <c r="A2" s="91"/>
      <c r="B2" s="24"/>
      <c r="C2" s="50" t="s">
        <v>43</v>
      </c>
      <c r="D2" s="26"/>
      <c r="E2" s="26"/>
      <c r="F2" s="27"/>
      <c r="G2" s="27"/>
      <c r="H2" s="27"/>
      <c r="I2" s="66"/>
      <c r="O2" s="28"/>
    </row>
    <row r="3" spans="1:16">
      <c r="A3" s="77" t="s">
        <v>45</v>
      </c>
      <c r="B3" s="78"/>
      <c r="C3" s="25" t="s">
        <v>32</v>
      </c>
      <c r="D3" s="26"/>
      <c r="E3" s="26"/>
      <c r="F3" s="27"/>
      <c r="G3" s="27"/>
      <c r="H3" s="27"/>
      <c r="I3" s="66"/>
      <c r="O3" s="28"/>
    </row>
    <row r="4" spans="1:16" ht="42.75" customHeight="1">
      <c r="A4" s="79"/>
      <c r="B4" s="78"/>
      <c r="C4" s="49" t="s">
        <v>33</v>
      </c>
      <c r="D4" s="26"/>
      <c r="E4" s="26"/>
      <c r="F4" s="27"/>
      <c r="G4" s="27"/>
      <c r="H4" s="27"/>
      <c r="I4" s="66"/>
      <c r="O4" s="28"/>
    </row>
    <row r="5" spans="1:16">
      <c r="A5" s="48"/>
      <c r="B5" s="29"/>
      <c r="C5" s="49" t="s">
        <v>34</v>
      </c>
      <c r="D5" s="26"/>
      <c r="E5" s="26"/>
      <c r="F5" s="27"/>
      <c r="G5" s="27"/>
      <c r="H5" s="27"/>
      <c r="I5" s="66"/>
      <c r="O5" s="28"/>
    </row>
    <row r="6" spans="1:16">
      <c r="A6" s="48"/>
      <c r="B6" s="29"/>
      <c r="C6" s="49" t="s">
        <v>35</v>
      </c>
      <c r="D6" s="26"/>
      <c r="E6" s="26"/>
      <c r="F6" s="27"/>
      <c r="G6" s="27"/>
      <c r="H6" s="27"/>
      <c r="I6" s="66"/>
      <c r="O6" s="28"/>
    </row>
    <row r="7" spans="1:16">
      <c r="A7" s="57" t="s">
        <v>46</v>
      </c>
      <c r="B7" s="29"/>
      <c r="C7" s="49" t="s">
        <v>36</v>
      </c>
      <c r="D7" s="26"/>
      <c r="E7" s="26"/>
      <c r="F7" s="27"/>
      <c r="G7" s="27"/>
      <c r="H7" s="27"/>
      <c r="I7" s="66"/>
      <c r="O7" s="28"/>
    </row>
    <row r="8" spans="1:16">
      <c r="A8" s="48"/>
      <c r="B8" s="29"/>
      <c r="C8" s="25" t="s">
        <v>83</v>
      </c>
      <c r="D8" s="27"/>
      <c r="E8" s="27"/>
      <c r="F8" s="27"/>
      <c r="G8" s="27"/>
      <c r="H8" s="27"/>
      <c r="I8" s="66"/>
      <c r="O8" s="28"/>
    </row>
    <row r="9" spans="1:16">
      <c r="A9" s="48"/>
      <c r="B9" s="29"/>
      <c r="C9" s="25" t="s">
        <v>16</v>
      </c>
      <c r="D9" s="27"/>
      <c r="E9" s="27"/>
      <c r="F9" s="27"/>
      <c r="G9" s="27"/>
      <c r="H9" s="27"/>
      <c r="I9" s="66"/>
      <c r="O9" s="28"/>
    </row>
    <row r="10" spans="1:16">
      <c r="A10" s="30"/>
      <c r="B10" s="31"/>
      <c r="C10" s="32" t="s">
        <v>17</v>
      </c>
      <c r="D10" s="33"/>
      <c r="E10" s="33"/>
      <c r="F10" s="33"/>
      <c r="G10" s="33"/>
      <c r="H10" s="33"/>
      <c r="I10" s="68"/>
      <c r="J10" s="34"/>
      <c r="K10" s="34"/>
      <c r="L10" s="34"/>
      <c r="M10" s="34"/>
      <c r="N10" s="34"/>
      <c r="O10" s="35"/>
    </row>
    <row r="11" spans="1:16">
      <c r="A11" s="27"/>
      <c r="B11" s="27"/>
      <c r="C11" s="27"/>
      <c r="D11" s="27"/>
      <c r="E11" s="27"/>
      <c r="F11" s="36"/>
      <c r="G11" s="36"/>
      <c r="H11" s="36"/>
    </row>
    <row r="12" spans="1:16" ht="15.75" customHeight="1">
      <c r="A12" s="92" t="s">
        <v>66</v>
      </c>
      <c r="B12" s="94" t="s">
        <v>18</v>
      </c>
      <c r="C12" s="81" t="s">
        <v>19</v>
      </c>
      <c r="D12" s="85" t="s">
        <v>20</v>
      </c>
      <c r="E12" s="88" t="s">
        <v>21</v>
      </c>
      <c r="F12" s="89"/>
      <c r="G12" s="70"/>
      <c r="H12" s="70"/>
      <c r="I12" s="88" t="s">
        <v>22</v>
      </c>
      <c r="J12" s="89"/>
      <c r="K12" s="81" t="s">
        <v>23</v>
      </c>
      <c r="L12" s="81" t="s">
        <v>24</v>
      </c>
      <c r="M12" s="81" t="s">
        <v>78</v>
      </c>
      <c r="N12" s="81" t="s">
        <v>79</v>
      </c>
      <c r="O12" s="81" t="s">
        <v>77</v>
      </c>
      <c r="P12" s="81" t="s">
        <v>25</v>
      </c>
    </row>
    <row r="13" spans="1:16" ht="15.75" customHeight="1">
      <c r="A13" s="93"/>
      <c r="B13" s="95"/>
      <c r="C13" s="82"/>
      <c r="D13" s="87"/>
      <c r="E13" s="85" t="s">
        <v>26</v>
      </c>
      <c r="F13" s="85" t="s">
        <v>27</v>
      </c>
      <c r="G13" s="97" t="s">
        <v>74</v>
      </c>
      <c r="H13" s="97" t="s">
        <v>75</v>
      </c>
      <c r="I13" s="97" t="s">
        <v>76</v>
      </c>
      <c r="J13" s="81" t="s">
        <v>28</v>
      </c>
      <c r="K13" s="82"/>
      <c r="L13" s="82"/>
      <c r="M13" s="82"/>
      <c r="N13" s="82"/>
      <c r="O13" s="82"/>
      <c r="P13" s="84"/>
    </row>
    <row r="14" spans="1:16" ht="57.75" customHeight="1">
      <c r="A14" s="93"/>
      <c r="B14" s="96"/>
      <c r="C14" s="83"/>
      <c r="D14" s="86"/>
      <c r="E14" s="86"/>
      <c r="F14" s="86"/>
      <c r="G14" s="98"/>
      <c r="H14" s="98"/>
      <c r="I14" s="98"/>
      <c r="J14" s="83"/>
      <c r="K14" s="83"/>
      <c r="L14" s="83"/>
      <c r="M14" s="83"/>
      <c r="N14" s="83"/>
      <c r="O14" s="83"/>
      <c r="P14" s="81"/>
    </row>
    <row r="15" spans="1:16" s="1" customFormat="1" ht="27" customHeight="1">
      <c r="A15" s="51" t="s">
        <v>67</v>
      </c>
      <c r="B15" s="40">
        <v>34604</v>
      </c>
      <c r="C15" s="52" t="s">
        <v>55</v>
      </c>
      <c r="D15" s="51" t="s">
        <v>37</v>
      </c>
      <c r="E15" s="41"/>
      <c r="F15" s="37"/>
      <c r="G15" s="64">
        <v>372000</v>
      </c>
      <c r="H15" s="64">
        <v>240800</v>
      </c>
      <c r="I15" s="64">
        <v>297100</v>
      </c>
      <c r="J15" s="38">
        <v>0</v>
      </c>
      <c r="K15" s="38">
        <v>120</v>
      </c>
      <c r="L15" s="64">
        <f t="shared" ref="L15:L27" si="0">G15+H15+I15</f>
        <v>909900</v>
      </c>
      <c r="M15" s="64">
        <f t="shared" ref="M15:M27" si="1">L15*1%</f>
        <v>9099</v>
      </c>
      <c r="N15" s="64">
        <f t="shared" ref="N15:N27" si="2">L15*5%</f>
        <v>45495</v>
      </c>
      <c r="O15" s="64">
        <f t="shared" ref="O15:O27" si="3">M15+N15</f>
        <v>54594</v>
      </c>
      <c r="P15" s="38">
        <v>1</v>
      </c>
    </row>
    <row r="16" spans="1:16" s="1" customFormat="1" ht="27" customHeight="1">
      <c r="A16" s="51" t="s">
        <v>68</v>
      </c>
      <c r="B16" s="40">
        <v>29801</v>
      </c>
      <c r="C16" s="52" t="s">
        <v>56</v>
      </c>
      <c r="D16" s="51" t="s">
        <v>37</v>
      </c>
      <c r="E16" s="41"/>
      <c r="F16" s="37"/>
      <c r="G16" s="64">
        <v>712800</v>
      </c>
      <c r="H16" s="64">
        <v>712800</v>
      </c>
      <c r="I16" s="64">
        <v>712800</v>
      </c>
      <c r="J16" s="38">
        <v>0</v>
      </c>
      <c r="K16" s="38">
        <v>243</v>
      </c>
      <c r="L16" s="64">
        <f t="shared" si="0"/>
        <v>2138400</v>
      </c>
      <c r="M16" s="64">
        <f t="shared" si="1"/>
        <v>21384</v>
      </c>
      <c r="N16" s="64">
        <f t="shared" si="2"/>
        <v>106920</v>
      </c>
      <c r="O16" s="64">
        <f t="shared" si="3"/>
        <v>128304</v>
      </c>
      <c r="P16" s="38">
        <v>2</v>
      </c>
    </row>
    <row r="17" spans="1:17" s="1" customFormat="1" ht="27" customHeight="1">
      <c r="A17" s="51" t="s">
        <v>69</v>
      </c>
      <c r="B17" s="40">
        <v>24169</v>
      </c>
      <c r="C17" s="52" t="s">
        <v>57</v>
      </c>
      <c r="D17" s="51" t="s">
        <v>38</v>
      </c>
      <c r="E17" s="42"/>
      <c r="F17" s="44"/>
      <c r="G17" s="64">
        <v>148500</v>
      </c>
      <c r="H17" s="64">
        <v>148500</v>
      </c>
      <c r="I17" s="64">
        <v>148500</v>
      </c>
      <c r="J17" s="38">
        <v>0</v>
      </c>
      <c r="K17" s="38">
        <v>44</v>
      </c>
      <c r="L17" s="64">
        <f t="shared" si="0"/>
        <v>445500</v>
      </c>
      <c r="M17" s="64">
        <f t="shared" si="1"/>
        <v>4455</v>
      </c>
      <c r="N17" s="64">
        <f t="shared" si="2"/>
        <v>22275</v>
      </c>
      <c r="O17" s="64">
        <f t="shared" si="3"/>
        <v>26730</v>
      </c>
      <c r="P17" s="38">
        <v>3</v>
      </c>
      <c r="Q17"/>
    </row>
    <row r="18" spans="1:17" s="1" customFormat="1" ht="27" customHeight="1">
      <c r="A18" s="51" t="s">
        <v>47</v>
      </c>
      <c r="B18" s="40">
        <v>24473</v>
      </c>
      <c r="C18" s="52" t="s">
        <v>58</v>
      </c>
      <c r="D18" s="51" t="s">
        <v>37</v>
      </c>
      <c r="E18" s="42"/>
      <c r="F18" s="44"/>
      <c r="G18" s="64">
        <v>475300</v>
      </c>
      <c r="H18" s="64">
        <v>535300</v>
      </c>
      <c r="I18" s="64">
        <v>475300</v>
      </c>
      <c r="J18" s="38">
        <v>0</v>
      </c>
      <c r="K18" s="38">
        <v>243</v>
      </c>
      <c r="L18" s="64">
        <f t="shared" si="0"/>
        <v>1485900</v>
      </c>
      <c r="M18" s="64">
        <f t="shared" si="1"/>
        <v>14859</v>
      </c>
      <c r="N18" s="64">
        <f t="shared" si="2"/>
        <v>74295</v>
      </c>
      <c r="O18" s="64">
        <f t="shared" si="3"/>
        <v>89154</v>
      </c>
      <c r="P18" s="38">
        <v>3</v>
      </c>
      <c r="Q18"/>
    </row>
    <row r="19" spans="1:17" s="1" customFormat="1" ht="27" customHeight="1">
      <c r="A19" s="51" t="s">
        <v>48</v>
      </c>
      <c r="B19" s="40">
        <v>26933</v>
      </c>
      <c r="C19" s="52" t="s">
        <v>59</v>
      </c>
      <c r="D19" s="51" t="s">
        <v>37</v>
      </c>
      <c r="E19" s="42"/>
      <c r="F19" s="44"/>
      <c r="G19" s="64">
        <v>563500</v>
      </c>
      <c r="H19" s="64">
        <v>475200</v>
      </c>
      <c r="I19" s="64">
        <v>475200</v>
      </c>
      <c r="J19" s="38">
        <v>0</v>
      </c>
      <c r="K19" s="38">
        <v>243</v>
      </c>
      <c r="L19" s="64">
        <f t="shared" si="0"/>
        <v>1513900</v>
      </c>
      <c r="M19" s="64">
        <f t="shared" si="1"/>
        <v>15139</v>
      </c>
      <c r="N19" s="64">
        <f t="shared" si="2"/>
        <v>75695</v>
      </c>
      <c r="O19" s="64">
        <f t="shared" si="3"/>
        <v>90834</v>
      </c>
      <c r="P19" s="38">
        <v>4</v>
      </c>
      <c r="Q19"/>
    </row>
    <row r="20" spans="1:17" s="1" customFormat="1" ht="27" customHeight="1">
      <c r="A20" s="51" t="s">
        <v>49</v>
      </c>
      <c r="B20" s="40">
        <v>24838</v>
      </c>
      <c r="C20" s="52" t="s">
        <v>60</v>
      </c>
      <c r="D20" s="51" t="s">
        <v>37</v>
      </c>
      <c r="E20" s="42"/>
      <c r="F20" s="44"/>
      <c r="G20" s="64">
        <v>578000</v>
      </c>
      <c r="H20" s="64">
        <v>507200</v>
      </c>
      <c r="I20" s="64">
        <v>475300</v>
      </c>
      <c r="J20" s="38">
        <v>0</v>
      </c>
      <c r="K20" s="38">
        <v>243</v>
      </c>
      <c r="L20" s="64">
        <f t="shared" si="0"/>
        <v>1560500</v>
      </c>
      <c r="M20" s="64">
        <f t="shared" si="1"/>
        <v>15605</v>
      </c>
      <c r="N20" s="64">
        <f t="shared" si="2"/>
        <v>78025</v>
      </c>
      <c r="O20" s="64">
        <f t="shared" si="3"/>
        <v>93630</v>
      </c>
      <c r="P20" s="38">
        <v>3</v>
      </c>
      <c r="Q20"/>
    </row>
    <row r="21" spans="1:17" s="1" customFormat="1" ht="27" customHeight="1">
      <c r="A21" s="51" t="s">
        <v>50</v>
      </c>
      <c r="B21" s="40">
        <v>31778</v>
      </c>
      <c r="C21" s="52" t="s">
        <v>61</v>
      </c>
      <c r="D21" s="51" t="s">
        <v>37</v>
      </c>
      <c r="E21" s="42"/>
      <c r="F21" s="44"/>
      <c r="G21" s="64">
        <v>851400</v>
      </c>
      <c r="H21" s="64">
        <v>851400</v>
      </c>
      <c r="I21" s="64">
        <v>851400</v>
      </c>
      <c r="J21" s="38">
        <v>0</v>
      </c>
      <c r="K21" s="38">
        <v>243</v>
      </c>
      <c r="L21" s="64">
        <f t="shared" si="0"/>
        <v>2554200</v>
      </c>
      <c r="M21" s="64">
        <f t="shared" si="1"/>
        <v>25542</v>
      </c>
      <c r="N21" s="64">
        <f t="shared" si="2"/>
        <v>127710</v>
      </c>
      <c r="O21" s="64">
        <f t="shared" si="3"/>
        <v>153252</v>
      </c>
      <c r="P21" s="38">
        <v>1</v>
      </c>
      <c r="Q21"/>
    </row>
    <row r="22" spans="1:17" s="1" customFormat="1" ht="27" customHeight="1">
      <c r="A22" s="51" t="s">
        <v>51</v>
      </c>
      <c r="B22" s="40">
        <v>33467</v>
      </c>
      <c r="C22" s="52" t="s">
        <v>62</v>
      </c>
      <c r="D22" s="51" t="s">
        <v>37</v>
      </c>
      <c r="E22" s="42"/>
      <c r="F22" s="44"/>
      <c r="G22" s="64">
        <v>396000</v>
      </c>
      <c r="H22" s="64">
        <v>396000</v>
      </c>
      <c r="I22" s="64">
        <v>396000</v>
      </c>
      <c r="J22" s="38">
        <v>0</v>
      </c>
      <c r="K22" s="38">
        <v>243</v>
      </c>
      <c r="L22" s="64">
        <f t="shared" si="0"/>
        <v>1188000</v>
      </c>
      <c r="M22" s="64">
        <f t="shared" si="1"/>
        <v>11880</v>
      </c>
      <c r="N22" s="64">
        <f t="shared" si="2"/>
        <v>59400</v>
      </c>
      <c r="O22" s="64">
        <f t="shared" si="3"/>
        <v>71280</v>
      </c>
      <c r="P22" s="38">
        <v>1</v>
      </c>
      <c r="Q22"/>
    </row>
    <row r="23" spans="1:17" s="1" customFormat="1" ht="27" customHeight="1">
      <c r="A23" s="51" t="s">
        <v>52</v>
      </c>
      <c r="B23" s="40">
        <v>32509</v>
      </c>
      <c r="C23" s="52" t="s">
        <v>63</v>
      </c>
      <c r="D23" s="51" t="s">
        <v>38</v>
      </c>
      <c r="E23" s="42"/>
      <c r="F23" s="44"/>
      <c r="G23" s="64">
        <v>138600</v>
      </c>
      <c r="H23" s="64">
        <v>138600</v>
      </c>
      <c r="I23" s="64">
        <v>138600</v>
      </c>
      <c r="J23" s="38">
        <v>0</v>
      </c>
      <c r="K23" s="38">
        <v>44</v>
      </c>
      <c r="L23" s="64">
        <f t="shared" si="0"/>
        <v>415800</v>
      </c>
      <c r="M23" s="64">
        <f t="shared" si="1"/>
        <v>4158</v>
      </c>
      <c r="N23" s="64">
        <f t="shared" si="2"/>
        <v>20790</v>
      </c>
      <c r="O23" s="64">
        <f t="shared" si="3"/>
        <v>24948</v>
      </c>
      <c r="P23" s="38">
        <v>3</v>
      </c>
    </row>
    <row r="24" spans="1:17" s="1" customFormat="1" ht="27" customHeight="1">
      <c r="A24" s="51" t="s">
        <v>53</v>
      </c>
      <c r="B24" s="40">
        <v>34739</v>
      </c>
      <c r="C24" s="52" t="s">
        <v>64</v>
      </c>
      <c r="D24" s="51" t="s">
        <v>37</v>
      </c>
      <c r="E24" s="42"/>
      <c r="F24" s="44"/>
      <c r="G24" s="64">
        <v>376200</v>
      </c>
      <c r="H24" s="64">
        <v>376200</v>
      </c>
      <c r="I24" s="64">
        <v>350800</v>
      </c>
      <c r="J24" s="38">
        <v>0</v>
      </c>
      <c r="K24" s="38">
        <v>243</v>
      </c>
      <c r="L24" s="64">
        <f t="shared" si="0"/>
        <v>1103200</v>
      </c>
      <c r="M24" s="64">
        <f t="shared" si="1"/>
        <v>11032</v>
      </c>
      <c r="N24" s="64">
        <f t="shared" si="2"/>
        <v>55160</v>
      </c>
      <c r="O24" s="64">
        <f t="shared" si="3"/>
        <v>66192</v>
      </c>
      <c r="P24" s="38">
        <v>2</v>
      </c>
    </row>
    <row r="25" spans="1:17" s="1" customFormat="1" ht="27" customHeight="1">
      <c r="A25" s="37" t="s">
        <v>73</v>
      </c>
      <c r="B25" s="40">
        <v>45776</v>
      </c>
      <c r="C25" s="63">
        <v>301031009140</v>
      </c>
      <c r="D25" s="37" t="s">
        <v>37</v>
      </c>
      <c r="E25" s="42"/>
      <c r="F25" s="44"/>
      <c r="G25" s="64">
        <v>1683000</v>
      </c>
      <c r="H25" s="64">
        <v>1683000</v>
      </c>
      <c r="I25" s="64">
        <v>1683000</v>
      </c>
      <c r="J25" s="38">
        <v>0</v>
      </c>
      <c r="K25" s="38">
        <v>243</v>
      </c>
      <c r="L25" s="64">
        <f t="shared" si="0"/>
        <v>5049000</v>
      </c>
      <c r="M25" s="64">
        <f t="shared" si="1"/>
        <v>50490</v>
      </c>
      <c r="N25" s="64">
        <f t="shared" si="2"/>
        <v>252450</v>
      </c>
      <c r="O25" s="64">
        <f t="shared" si="3"/>
        <v>302940</v>
      </c>
      <c r="P25" s="38">
        <v>1</v>
      </c>
    </row>
    <row r="26" spans="1:17" s="1" customFormat="1" ht="27" customHeight="1">
      <c r="A26" s="37" t="s">
        <v>71</v>
      </c>
      <c r="B26" s="40">
        <v>45748</v>
      </c>
      <c r="C26" s="63">
        <v>305011042270</v>
      </c>
      <c r="D26" s="37" t="s">
        <v>37</v>
      </c>
      <c r="E26" s="42"/>
      <c r="F26" s="44"/>
      <c r="G26" s="64">
        <v>209100</v>
      </c>
      <c r="H26" s="64">
        <v>253800</v>
      </c>
      <c r="I26" s="64">
        <v>220300</v>
      </c>
      <c r="J26" s="38">
        <v>0</v>
      </c>
      <c r="K26" s="38">
        <v>120</v>
      </c>
      <c r="L26" s="64">
        <f t="shared" si="0"/>
        <v>683200</v>
      </c>
      <c r="M26" s="64">
        <f t="shared" si="1"/>
        <v>6832</v>
      </c>
      <c r="N26" s="64">
        <f t="shared" si="2"/>
        <v>34160</v>
      </c>
      <c r="O26" s="64">
        <f t="shared" si="3"/>
        <v>40992</v>
      </c>
      <c r="P26" s="38">
        <v>1</v>
      </c>
    </row>
    <row r="27" spans="1:17" s="1" customFormat="1" ht="27" customHeight="1">
      <c r="A27" s="51" t="s">
        <v>54</v>
      </c>
      <c r="B27" s="40">
        <v>34859</v>
      </c>
      <c r="C27" s="52" t="s">
        <v>65</v>
      </c>
      <c r="D27" s="51" t="s">
        <v>37</v>
      </c>
      <c r="E27" s="42"/>
      <c r="F27" s="44"/>
      <c r="G27" s="64">
        <v>346600</v>
      </c>
      <c r="H27" s="64">
        <v>346600</v>
      </c>
      <c r="I27" s="64">
        <v>323300</v>
      </c>
      <c r="J27" s="38">
        <v>0</v>
      </c>
      <c r="K27" s="38">
        <v>243</v>
      </c>
      <c r="L27" s="64">
        <f t="shared" si="0"/>
        <v>1016500</v>
      </c>
      <c r="M27" s="64">
        <f t="shared" si="1"/>
        <v>10165</v>
      </c>
      <c r="N27" s="64">
        <f t="shared" si="2"/>
        <v>50825</v>
      </c>
      <c r="O27" s="64">
        <f t="shared" si="3"/>
        <v>60990</v>
      </c>
      <c r="P27" s="38">
        <v>2</v>
      </c>
    </row>
    <row r="28" spans="1:17" s="1" customFormat="1" ht="27" customHeight="1">
      <c r="A28" s="45"/>
      <c r="B28" s="46"/>
      <c r="C28" s="43"/>
      <c r="D28" s="42"/>
      <c r="E28" s="47" t="s">
        <v>29</v>
      </c>
      <c r="F28" s="39"/>
      <c r="G28" s="65">
        <f t="shared" ref="G28:H28" si="4">SUM(G15:G27)</f>
        <v>6851000</v>
      </c>
      <c r="H28" s="65">
        <f t="shared" si="4"/>
        <v>6665400</v>
      </c>
      <c r="I28" s="65">
        <f>SUM(I15:I27)</f>
        <v>6547600</v>
      </c>
      <c r="J28" s="58"/>
      <c r="K28" s="59"/>
      <c r="L28" s="60">
        <f>SUM(L15:L27)</f>
        <v>20064000</v>
      </c>
      <c r="M28" s="60">
        <f t="shared" ref="M28:N28" si="5">SUM(M15:M27)</f>
        <v>200640</v>
      </c>
      <c r="N28" s="60">
        <f t="shared" si="5"/>
        <v>1003200</v>
      </c>
      <c r="O28" s="72">
        <f>SUM(O15:O27)</f>
        <v>1203840</v>
      </c>
    </row>
    <row r="29" spans="1:17" s="1" customFormat="1">
      <c r="A29" s="27"/>
      <c r="B29" s="27"/>
      <c r="C29" s="27"/>
      <c r="D29" s="27"/>
      <c r="E29" s="27"/>
      <c r="F29" s="36"/>
      <c r="G29" s="36"/>
      <c r="H29" s="36"/>
      <c r="I29" s="66"/>
      <c r="J29" s="27"/>
      <c r="K29" s="27"/>
      <c r="L29" s="27"/>
      <c r="M29" s="27"/>
      <c r="N29" s="27"/>
      <c r="O29" s="27"/>
    </row>
    <row r="30" spans="1:17" s="1" customFormat="1">
      <c r="A30" s="27"/>
      <c r="B30" s="27"/>
      <c r="C30" s="27"/>
      <c r="D30" s="27"/>
      <c r="E30" s="27"/>
      <c r="F30" s="36"/>
      <c r="G30" s="36"/>
      <c r="H30" s="36"/>
      <c r="I30" s="66"/>
      <c r="J30" s="27"/>
      <c r="K30" s="27"/>
      <c r="L30" s="27"/>
      <c r="M30" s="27"/>
      <c r="N30" s="27"/>
      <c r="O30" s="27"/>
    </row>
    <row r="31" spans="1:17" s="1" customFormat="1">
      <c r="A31" s="27"/>
      <c r="B31" s="27"/>
      <c r="C31" s="27"/>
      <c r="D31" s="27"/>
      <c r="E31" s="27" t="s">
        <v>72</v>
      </c>
      <c r="F31" s="36"/>
      <c r="G31" s="36"/>
      <c r="H31" s="36"/>
      <c r="I31" s="66"/>
      <c r="J31" s="27"/>
      <c r="K31" s="27"/>
      <c r="L31" s="27"/>
      <c r="M31" s="27"/>
      <c r="N31" s="27"/>
      <c r="O31" s="27"/>
    </row>
    <row r="32" spans="1:17" s="1" customFormat="1">
      <c r="A32" s="27"/>
      <c r="B32" s="27"/>
      <c r="C32" s="27"/>
      <c r="D32" s="27"/>
      <c r="E32" s="27"/>
      <c r="F32" s="36"/>
      <c r="G32" s="36"/>
      <c r="H32" s="36"/>
      <c r="I32"/>
      <c r="K32" s="26" t="s">
        <v>80</v>
      </c>
      <c r="L32" s="27"/>
      <c r="M32" s="27"/>
      <c r="N32" s="27"/>
      <c r="O32" s="27"/>
    </row>
    <row r="33" spans="1:15" s="1" customFormat="1">
      <c r="A33" s="27"/>
      <c r="B33" s="27"/>
      <c r="C33" s="27"/>
      <c r="D33" s="27"/>
      <c r="E33" s="27"/>
      <c r="F33" s="36"/>
      <c r="G33" s="36"/>
      <c r="H33" s="36"/>
      <c r="I33" s="69"/>
      <c r="J33" s="27"/>
      <c r="K33" s="27"/>
      <c r="L33" s="27"/>
      <c r="M33" s="27"/>
      <c r="N33" s="27"/>
      <c r="O33" s="27"/>
    </row>
    <row r="34" spans="1:15" s="1" customFormat="1">
      <c r="A34" s="27"/>
      <c r="B34" s="27"/>
      <c r="C34" s="27"/>
      <c r="D34" s="27"/>
      <c r="E34" s="27"/>
      <c r="F34" s="36"/>
      <c r="G34" s="36"/>
      <c r="H34" s="36"/>
      <c r="I34"/>
      <c r="J34" s="27"/>
      <c r="K34" s="27"/>
      <c r="L34" s="27"/>
      <c r="M34" s="27"/>
      <c r="N34" s="27"/>
      <c r="O34" s="27"/>
    </row>
    <row r="35" spans="1:15" s="1" customFormat="1">
      <c r="A35" s="27"/>
      <c r="B35" s="27"/>
      <c r="C35" s="27"/>
      <c r="D35" s="27"/>
      <c r="E35" s="27"/>
      <c r="F35" s="36"/>
      <c r="G35" s="36"/>
      <c r="H35" s="36"/>
      <c r="I35" s="69"/>
      <c r="K35" s="26" t="s">
        <v>14</v>
      </c>
      <c r="L35" s="27"/>
      <c r="M35" s="27"/>
      <c r="N35" s="27"/>
      <c r="O35" s="27"/>
    </row>
    <row r="36" spans="1:15" s="1" customFormat="1">
      <c r="A36" s="27"/>
      <c r="B36" s="27"/>
      <c r="C36" s="27"/>
      <c r="D36" s="27"/>
      <c r="E36" s="27"/>
      <c r="F36" s="36"/>
      <c r="G36" s="36"/>
      <c r="H36" s="36"/>
      <c r="I36"/>
      <c r="J36" s="27"/>
      <c r="K36" s="27"/>
      <c r="L36" s="27"/>
      <c r="M36" s="27"/>
      <c r="N36" s="27"/>
      <c r="O36" s="27"/>
    </row>
    <row r="37" spans="1:15" s="1" customFormat="1">
      <c r="A37" s="27"/>
      <c r="B37" s="27"/>
      <c r="C37" s="27"/>
      <c r="D37" s="27"/>
      <c r="E37" s="27"/>
      <c r="F37" s="36"/>
      <c r="G37" s="36"/>
      <c r="H37" s="36"/>
      <c r="I37" s="69"/>
      <c r="J37" s="27"/>
      <c r="K37" s="27"/>
      <c r="L37" s="27"/>
      <c r="M37" s="27"/>
      <c r="N37" s="27"/>
      <c r="O37" s="27"/>
    </row>
    <row r="38" spans="1:15" s="1" customFormat="1">
      <c r="A38" s="27"/>
      <c r="B38" s="27"/>
      <c r="C38" s="27"/>
      <c r="D38" s="27"/>
      <c r="E38" s="27"/>
      <c r="F38" s="36"/>
      <c r="G38" s="36"/>
      <c r="H38" s="36"/>
      <c r="I38"/>
      <c r="J38" s="27"/>
      <c r="K38" s="27"/>
      <c r="L38" s="27"/>
      <c r="M38" s="27"/>
      <c r="N38" s="27"/>
      <c r="O38" s="27"/>
    </row>
    <row r="39" spans="1:15" s="1" customFormat="1">
      <c r="A39" s="27"/>
      <c r="B39" s="27"/>
      <c r="C39" s="27"/>
      <c r="D39" s="27"/>
      <c r="E39" s="27"/>
      <c r="F39" s="36"/>
      <c r="G39" s="36"/>
      <c r="H39" s="36"/>
      <c r="I39" s="66"/>
      <c r="J39" s="27"/>
      <c r="K39" s="27"/>
      <c r="L39" s="27"/>
      <c r="M39" s="27"/>
      <c r="N39" s="27"/>
      <c r="O39" s="27"/>
    </row>
    <row r="40" spans="1:15" s="1" customFormat="1">
      <c r="A40" s="27"/>
      <c r="B40" s="27"/>
      <c r="C40" s="27"/>
      <c r="D40" s="27"/>
      <c r="E40" s="27"/>
      <c r="F40" s="36"/>
      <c r="G40" s="36"/>
      <c r="H40" s="36"/>
      <c r="I40" s="66"/>
      <c r="J40" s="27"/>
      <c r="K40" s="27"/>
      <c r="L40" s="27"/>
      <c r="M40" s="27"/>
      <c r="N40" s="27"/>
      <c r="O40" s="27"/>
    </row>
    <row r="41" spans="1:15" s="1" customFormat="1">
      <c r="A41" s="27"/>
      <c r="B41" s="27"/>
      <c r="C41" s="27"/>
      <c r="D41" s="27"/>
      <c r="E41" s="27"/>
      <c r="F41" s="36"/>
      <c r="G41" s="36"/>
      <c r="H41" s="36"/>
      <c r="I41" s="66"/>
      <c r="J41" s="27"/>
      <c r="K41" s="27"/>
      <c r="L41" s="27"/>
      <c r="M41" s="27"/>
      <c r="N41" s="27"/>
      <c r="O41" s="27"/>
    </row>
    <row r="42" spans="1:15" s="1" customFormat="1">
      <c r="A42" s="27"/>
      <c r="B42" s="27"/>
      <c r="C42" s="27"/>
      <c r="D42" s="27"/>
      <c r="E42" s="27"/>
      <c r="F42" s="36"/>
      <c r="G42" s="36"/>
      <c r="H42" s="36"/>
      <c r="I42" s="66"/>
      <c r="J42" s="27"/>
      <c r="K42" s="27"/>
      <c r="L42" s="27"/>
      <c r="M42" s="27"/>
      <c r="N42" s="27"/>
      <c r="O42" s="27"/>
    </row>
  </sheetData>
  <mergeCells count="20">
    <mergeCell ref="O12:O14"/>
    <mergeCell ref="P12:P14"/>
    <mergeCell ref="E13:E14"/>
    <mergeCell ref="F13:F14"/>
    <mergeCell ref="G13:G14"/>
    <mergeCell ref="H13:H14"/>
    <mergeCell ref="I13:I14"/>
    <mergeCell ref="J13:J14"/>
    <mergeCell ref="M12:M14"/>
    <mergeCell ref="N12:N14"/>
    <mergeCell ref="E12:F12"/>
    <mergeCell ref="I12:J12"/>
    <mergeCell ref="K12:K14"/>
    <mergeCell ref="L12:L14"/>
    <mergeCell ref="D12:D14"/>
    <mergeCell ref="A1:A2"/>
    <mergeCell ref="A3:B4"/>
    <mergeCell ref="A12:A14"/>
    <mergeCell ref="B12:B14"/>
    <mergeCell ref="C12:C14"/>
  </mergeCells>
  <pageMargins left="0.19685039370078741" right="0" top="0" bottom="0" header="0.51181102362204722" footer="0.51181102362204722"/>
  <pageSetup paperSize="9" scale="69" fitToWidth="0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BORDEREAU SKJ</vt:lpstr>
      <vt:lpstr>SKJ 3T</vt:lpstr>
      <vt:lpstr>'BORDEREAU SKJ'!Zone_d_impression</vt:lpstr>
      <vt:lpstr>'SKJ 3T'!Zone_d_impression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Lalaina RASOLOMAMPIANINA</dc:creator>
  <cp:lastModifiedBy>Herizo Raza</cp:lastModifiedBy>
  <cp:revision>2</cp:revision>
  <cp:lastPrinted>2025-10-09T06:03:43Z</cp:lastPrinted>
  <dcterms:created xsi:type="dcterms:W3CDTF">2016-06-02T13:32:00Z</dcterms:created>
  <dcterms:modified xsi:type="dcterms:W3CDTF">2025-12-20T09:20:57Z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1033-11.1.0.10161</vt:lpwstr>
  </property>
</Properties>
</file>