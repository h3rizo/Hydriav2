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Soakoja\Documents\Formation appli web\hydria nuxt django\backend\"/>
    </mc:Choice>
  </mc:AlternateContent>
  <xr:revisionPtr revIDLastSave="0" documentId="8_{8BAF2EFC-4E20-4B9C-AE43-CFF8E0EBAEA3}" xr6:coauthVersionLast="47" xr6:coauthVersionMax="47" xr10:uidLastSave="{00000000-0000-0000-0000-000000000000}"/>
  <bookViews>
    <workbookView xWindow="-120" yWindow="-120" windowWidth="29040" windowHeight="15720" activeTab="2" xr2:uid="{445E4E72-56D4-4B19-972F-174035712CCA}"/>
  </bookViews>
  <sheets>
    <sheet name="DIAME CNAPS" sheetId="1" r:id="rId1"/>
    <sheet name="EMPLOYEUR" sheetId="2" r:id="rId2"/>
    <sheet name="Annexe DNS" sheetId="3" r:id="rId3"/>
    <sheet name="Talon DNS" sheetId="4" r:id="rId4"/>
  </sheets>
  <externalReferences>
    <externalReference r:id="rId5"/>
  </externalReferences>
  <definedNames>
    <definedName name="PlageDynamique">OFFSET(#REF!,,,COUNTIF(#REF!,"?*")-1)</definedName>
    <definedName name="SME_2019">'[1]Grille Salaire'!$AB$1</definedName>
    <definedName name="_xlnm.Print_Area" localSheetId="2">'Annexe DNS'!$A$1:$W$41</definedName>
    <definedName name="_xlnm.Print_Area" localSheetId="0">'DIAME CNAPS'!#REF!</definedName>
    <definedName name="_xlnm.Print_Area" localSheetId="3">'Talon DNS'!$A$1:$J$50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iste_paiement-de65854e-8463-4e03-94d7-4ba5ae1fec9f" name="liste_paiement" connection="Requête - liste_paiement"/>
        </x15:modelTables>
        <x15:extLst>
          <ext xmlns:x16="http://schemas.microsoft.com/office/spreadsheetml/2014/11/main" uri="{9835A34E-60A6-4A7C-AAB8-D5F71C897F49}">
            <x16:modelTimeGroupings>
              <x16:modelTimeGrouping tableName="liste_paiement" columnName="Mois" columnId="Mois">
                <x16:calculatedTimeColumn columnName="Mois (index des mois)" columnId="Mois (index des mois)" contentType="monthsindex" isSelected="1"/>
                <x16:calculatedTimeColumn columnName="Mois (mois)" columnId="Mois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4" l="1"/>
  <c r="I34" i="4"/>
  <c r="F21" i="4"/>
  <c r="M1" i="4"/>
  <c r="C32" i="4" s="1"/>
  <c r="E35" i="2"/>
  <c r="D35" i="2"/>
  <c r="C35" i="2"/>
  <c r="E27" i="2"/>
  <c r="E20" i="2"/>
  <c r="E25" i="2" s="1"/>
  <c r="E37" i="2" s="1"/>
  <c r="D20" i="2"/>
  <c r="D27" i="2" s="1"/>
  <c r="C20" i="2"/>
  <c r="C27" i="2" s="1"/>
  <c r="A12" i="4" l="1"/>
  <c r="C33" i="4"/>
  <c r="I32" i="4" s="1"/>
  <c r="I35" i="4" s="1"/>
  <c r="A11" i="4"/>
  <c r="C30" i="4"/>
  <c r="I30" i="4" s="1"/>
  <c r="C31" i="4"/>
  <c r="I31" i="4" s="1"/>
  <c r="D37" i="4"/>
  <c r="I37" i="4" s="1"/>
  <c r="F27" i="2"/>
  <c r="D38" i="2"/>
  <c r="C26" i="2"/>
  <c r="C24" i="2"/>
  <c r="C36" i="2" s="1"/>
  <c r="D26" i="2"/>
  <c r="D24" i="2"/>
  <c r="D36" i="2" s="1"/>
  <c r="E26" i="2"/>
  <c r="C38" i="2"/>
  <c r="E24" i="2"/>
  <c r="E36" i="2" s="1"/>
  <c r="C25" i="2"/>
  <c r="E38" i="2"/>
  <c r="D25" i="2"/>
  <c r="D37" i="2" s="1"/>
  <c r="C35" i="4" l="1"/>
  <c r="C37" i="2"/>
  <c r="F37" i="2" s="1"/>
  <c r="F25" i="2"/>
  <c r="F38" i="2"/>
  <c r="F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6F7FF-A482-440B-AD63-F56C75D75DDA}" keepAlive="1" name="Requête - Activites" description="Connexion à la requête « Activites » dans le classeur." type="5" refreshedVersion="0" background="1">
    <dbPr connection="Provider=Microsoft.Mashup.OleDb.1;Data Source=$Workbook$;Location=Activites;Extended Properties=&quot;&quot;" command="SELECT * FROM [Activites]"/>
  </connection>
  <connection id="2" xr16:uid="{14877404-04A0-41C4-A13D-123B41A01A25}" keepAlive="1" name="Requête - Bailleurs" description="Connexion à la requête « Bailleurs » dans le classeur." type="5" refreshedVersion="0" background="1">
    <dbPr connection="Provider=Microsoft.Mashup.OleDb.1;Data Source=$Workbook$;Location=Bailleurs;Extended Properties=&quot;&quot;" command="SELECT * FROM [Bailleurs]"/>
  </connection>
  <connection id="3" xr16:uid="{0AA69A29-2966-4CC4-B647-EC71F56C79DB}" keepAlive="1" name="Requête - dernier_contrat" description="Connexion à la requête « dernier_contrat » dans le classeur." type="5" refreshedVersion="0" background="1">
    <dbPr connection="Provider=Microsoft.Mashup.OleDb.1;Data Source=$Workbook$;Location=dernier_contrat;Extended Properties=&quot;&quot;" command="SELECT * FROM [dernier_contrat]"/>
  </connection>
  <connection id="4" xr16:uid="{C17224DD-9564-4882-8F1C-483F5D3A0E47}" keepAlive="1" name="Requête - Employes" description="Connexion à la requête « Employes » dans le classeur." type="5" refreshedVersion="0" background="1">
    <dbPr connection="Provider=Microsoft.Mashup.OleDb.1;Data Source=$Workbook$;Location=Employes;Extended Properties=&quot;&quot;" command="SELECT * FROM [Employes]"/>
  </connection>
  <connection id="5" xr16:uid="{62370326-81A0-4D8B-B617-0D4B3B816855}" keepAlive="1" name="Requête - liste_employés" description="Connexion à la requête « liste_employés » dans le classeur." type="5" refreshedVersion="0" background="1">
    <dbPr connection="Provider=Microsoft.Mashup.OleDb.1;Data Source=$Workbook$;Location=liste_employés;Extended Properties=&quot;&quot;" command="SELECT * FROM [liste_employés]"/>
  </connection>
  <connection id="6" xr16:uid="{926BD6F9-180F-41D3-BFB7-3925EE931479}" name="Requête - liste_paiement" description="Connexion à la requête « liste_paiement » dans le classeur." type="100" refreshedVersion="8" minRefreshableVersion="5">
    <extLst>
      <ext xmlns:x15="http://schemas.microsoft.com/office/spreadsheetml/2010/11/main" uri="{DE250136-89BD-433C-8126-D09CA5730AF9}">
        <x15:connection id="cf1372ce-e643-4dc1-9786-b141615998cc">
          <x15:oledbPr connection="Provider=Microsoft.Mashup.OleDb.1;Data Source=$Workbook$;Location=liste_paiement;Extended Properties=&quot;&quot;">
            <x15:dbTables>
              <x15:dbTable name="liste_paiement"/>
            </x15:dbTables>
          </x15:oledbPr>
        </x15:connection>
      </ext>
    </extLst>
  </connection>
  <connection id="7" xr16:uid="{5510EAEC-E27E-4330-A47F-1875642529B6}" keepAlive="1" name="Requête - Ouvrages" description="Connexion à la requête « Ouvrages » dans le classeur." type="5" refreshedVersion="0" background="1">
    <dbPr connection="Provider=Microsoft.Mashup.OleDb.1;Data Source=$Workbook$;Location=Ouvrages;Extended Properties=&quot;&quot;" command="SELECT * FROM [Ouvrages]"/>
  </connection>
  <connection id="8" xr16:uid="{FE15259B-ED73-4AA6-9101-F09EF107EAF4}" keepAlive="1" name="Requête - Planning pour comptage affectation" description="Connexion à la requête « Planning pour comptage affectation » dans le classeur." type="5" refreshedVersion="0" background="1">
    <dbPr connection="Provider=Microsoft.Mashup.OleDb.1;Data Source=$Workbook$;Location=&quot;Planning pour comptage affectation&quot;;Extended Properties=&quot;&quot;" command="SELECT * FROM [Planning pour comptage affectation]"/>
  </connection>
  <connection id="9" xr16:uid="{0095E5D3-D0E3-472B-8FEA-46AB2D7904A8}" keepAlive="1" name="Requête - Planning pour comptage jours" description="Connexion à la requête « Planning pour comptage jours » dans le classeur." type="5" refreshedVersion="0" background="1">
    <dbPr connection="Provider=Microsoft.Mashup.OleDb.1;Data Source=$Workbook$;Location=&quot;Planning pour comptage jours&quot;;Extended Properties=&quot;&quot;" command="SELECT * FROM [Planning pour comptage jours]"/>
  </connection>
  <connection id="10" xr16:uid="{0BB5DE8E-4B11-496C-A765-12382AE93AB7}" keepAlive="1" name="Requête - Postes" description="Connexion à la requête « Postes » dans le classeur." type="5" refreshedVersion="0" background="1">
    <dbPr connection="Provider=Microsoft.Mashup.OleDb.1;Data Source=$Workbook$;Location=Postes;Extended Properties=&quot;&quot;" command="SELECT * FROM [Postes]"/>
  </connection>
  <connection id="11" xr16:uid="{F77A77BB-4E03-45D4-B2A6-034BFEFEE901}" keepAlive="1" name="Requête - Saisie Planning" description="Connexion à la requête « Saisie Planning » dans le classeur." type="5" refreshedVersion="0" background="1">
    <dbPr connection="Provider=Microsoft.Mashup.OleDb.1;Data Source=$Workbook$;Location=&quot;Saisie Planning&quot;;Extended Properties=&quot;&quot;" command="SELECT * FROM [Saisie Planning]"/>
  </connection>
  <connection id="12" xr16:uid="{00000000-0015-0000-FFFF-FFFF1F000000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<sst xmlns="http://schemas.openxmlformats.org/spreadsheetml/2006/main" count="574" uniqueCount="397">
  <si>
    <t>Nom</t>
  </si>
  <si>
    <t>Noms</t>
  </si>
  <si>
    <t>Prénoms</t>
  </si>
  <si>
    <t>Total charge CNaPS</t>
  </si>
  <si>
    <t>S01</t>
  </si>
  <si>
    <t>RABERIAKA</t>
  </si>
  <si>
    <t>Gaëtan Henri</t>
  </si>
  <si>
    <t>S05</t>
  </si>
  <si>
    <t>GALY</t>
  </si>
  <si>
    <t>Luigi Florentin</t>
  </si>
  <si>
    <t>S08</t>
  </si>
  <si>
    <t>RAKOTOELINORO</t>
  </si>
  <si>
    <t>Onjanandrianina Jean René</t>
  </si>
  <si>
    <t>S10</t>
  </si>
  <si>
    <t>RANDRIANANTENAINA</t>
  </si>
  <si>
    <t>Alain</t>
  </si>
  <si>
    <t>S11</t>
  </si>
  <si>
    <t>RAOUL</t>
  </si>
  <si>
    <t>S12</t>
  </si>
  <si>
    <t>RAVOLAMBAHOAKA</t>
  </si>
  <si>
    <t>Benedictine</t>
  </si>
  <si>
    <t>S13</t>
  </si>
  <si>
    <t>RAZAFINTSALAMA</t>
  </si>
  <si>
    <t>Herizo Nandrianintsoa</t>
  </si>
  <si>
    <t>S14</t>
  </si>
  <si>
    <t>RENE</t>
  </si>
  <si>
    <t>S16</t>
  </si>
  <si>
    <t>TSIZAFY</t>
  </si>
  <si>
    <t>Arnaud Victorien</t>
  </si>
  <si>
    <t>S17</t>
  </si>
  <si>
    <t>VELONASY</t>
  </si>
  <si>
    <t>S19</t>
  </si>
  <si>
    <t>RANDRIAMPENOMANANA</t>
  </si>
  <si>
    <t>Harinelina Faly</t>
  </si>
  <si>
    <t>S20</t>
  </si>
  <si>
    <t>RAHARIZARASOA</t>
  </si>
  <si>
    <t>Manitrasina Sahoby</t>
  </si>
  <si>
    <t>S24</t>
  </si>
  <si>
    <t>DAHY</t>
  </si>
  <si>
    <t>Christophe</t>
  </si>
  <si>
    <t>S26</t>
  </si>
  <si>
    <t>LAMA</t>
  </si>
  <si>
    <t>Francisco Anicet</t>
  </si>
  <si>
    <t>S28</t>
  </si>
  <si>
    <t>TOTO</t>
  </si>
  <si>
    <t>Rodin</t>
  </si>
  <si>
    <t>S30</t>
  </si>
  <si>
    <t>BIAKA</t>
  </si>
  <si>
    <t>Marie Jeanne</t>
  </si>
  <si>
    <t>S32</t>
  </si>
  <si>
    <t>TSARAVINTANA</t>
  </si>
  <si>
    <t>Francot</t>
  </si>
  <si>
    <t>S33</t>
  </si>
  <si>
    <t>PEROLIN</t>
  </si>
  <si>
    <t>S34</t>
  </si>
  <si>
    <t>SAMIANGALY</t>
  </si>
  <si>
    <t>Valerie Avotranirina</t>
  </si>
  <si>
    <t>S36</t>
  </si>
  <si>
    <t>RAMANJAKAMBALO</t>
  </si>
  <si>
    <t>Judicael</t>
  </si>
  <si>
    <t>S38</t>
  </si>
  <si>
    <t>TSIRA</t>
  </si>
  <si>
    <t>Jean Christian</t>
  </si>
  <si>
    <t>S39</t>
  </si>
  <si>
    <t>KWAN_KAI-TON</t>
  </si>
  <si>
    <t>Rasoanirina Lydie</t>
  </si>
  <si>
    <t>S40</t>
  </si>
  <si>
    <t>RANDRIAMINOHARINIRINA</t>
  </si>
  <si>
    <t>Herinalaina</t>
  </si>
  <si>
    <t>S42</t>
  </si>
  <si>
    <t>HERIMAMINAVALONA</t>
  </si>
  <si>
    <t>Fifaliana</t>
  </si>
  <si>
    <t>S43</t>
  </si>
  <si>
    <t>MAMONJISOA</t>
  </si>
  <si>
    <t>Heriniaina André</t>
  </si>
  <si>
    <t>S46</t>
  </si>
  <si>
    <t>VICTORIEN</t>
  </si>
  <si>
    <t>Angeliot</t>
  </si>
  <si>
    <t>S50</t>
  </si>
  <si>
    <t>SANDRINE</t>
  </si>
  <si>
    <t>S53</t>
  </si>
  <si>
    <t>SOMA</t>
  </si>
  <si>
    <t>Ginot</t>
  </si>
  <si>
    <t>S54</t>
  </si>
  <si>
    <t>VOLAHAINGO</t>
  </si>
  <si>
    <t>Frida Samuella</t>
  </si>
  <si>
    <t>S56</t>
  </si>
  <si>
    <t>SEDRANIAINA</t>
  </si>
  <si>
    <t>Santatra Irène</t>
  </si>
  <si>
    <t>S59</t>
  </si>
  <si>
    <t>BAKOARISOA</t>
  </si>
  <si>
    <t>Hanitriniaina</t>
  </si>
  <si>
    <t>S61</t>
  </si>
  <si>
    <t>RAHARISON</t>
  </si>
  <si>
    <t>Danny</t>
  </si>
  <si>
    <t>S64</t>
  </si>
  <si>
    <t>FENOMANANA</t>
  </si>
  <si>
    <t>Syressi Tilamb</t>
  </si>
  <si>
    <t>S65</t>
  </si>
  <si>
    <t>MAROLAHY</t>
  </si>
  <si>
    <t>Stanislas</t>
  </si>
  <si>
    <t>S67</t>
  </si>
  <si>
    <t>BERY</t>
  </si>
  <si>
    <t>Jerson Alexandre</t>
  </si>
  <si>
    <t>S68</t>
  </si>
  <si>
    <t>BIHANONA</t>
  </si>
  <si>
    <t>Elito</t>
  </si>
  <si>
    <t>S69</t>
  </si>
  <si>
    <t>RAZAFINDRIANTSY</t>
  </si>
  <si>
    <t>Pierrot Carlos</t>
  </si>
  <si>
    <t>S70</t>
  </si>
  <si>
    <t>YOURI</t>
  </si>
  <si>
    <t>Vincent</t>
  </si>
  <si>
    <t>S71</t>
  </si>
  <si>
    <t>Hyacintte</t>
  </si>
  <si>
    <t>RENSEIGNEMENTS SUR L'EMPLOYEUR :</t>
  </si>
  <si>
    <t>N° MATRICULE</t>
  </si>
  <si>
    <t>9C2137</t>
  </si>
  <si>
    <t>RAISON SOCIALE</t>
  </si>
  <si>
    <t>ONG SOAKOJA</t>
  </si>
  <si>
    <t>NIF</t>
  </si>
  <si>
    <t>du</t>
  </si>
  <si>
    <t>RCS</t>
  </si>
  <si>
    <t>STAT</t>
  </si>
  <si>
    <t>8810132201800019310</t>
  </si>
  <si>
    <t>ADRESSE</t>
  </si>
  <si>
    <t>BEMASOANDRO ANKAZOMIANKO VAVATENINA</t>
  </si>
  <si>
    <t>N° Téléphone</t>
  </si>
  <si>
    <t>034 85 214 08</t>
  </si>
  <si>
    <t>Adresse mail</t>
  </si>
  <si>
    <t>ong.soakoja@gmail.com</t>
  </si>
  <si>
    <t>COTISATIONS :</t>
  </si>
  <si>
    <t>Période et Année</t>
  </si>
  <si>
    <t xml:space="preserve"> Ex: 01-2011</t>
  </si>
  <si>
    <t>Mode de paiemnt</t>
  </si>
  <si>
    <t>Virement bancaire</t>
  </si>
  <si>
    <t>Référence</t>
  </si>
  <si>
    <t>Taux Employeur</t>
  </si>
  <si>
    <t>Taux Travailleur</t>
  </si>
  <si>
    <t>MOIS CONCERNES :</t>
  </si>
  <si>
    <t>RECAPITULATION :</t>
  </si>
  <si>
    <t>Mois 1</t>
  </si>
  <si>
    <t>Mois 2</t>
  </si>
  <si>
    <t>Mois 3</t>
  </si>
  <si>
    <t>TOTAUX</t>
  </si>
  <si>
    <r>
      <t>Effectif mensuel (</t>
    </r>
    <r>
      <rPr>
        <b/>
        <sz val="10"/>
        <rFont val="Arial"/>
        <family val="2"/>
      </rPr>
      <t>OBLIGATOIRE</t>
    </r>
    <r>
      <rPr>
        <sz val="12"/>
        <color theme="1"/>
        <rFont val="Calibri"/>
        <family val="2"/>
        <scheme val="minor"/>
      </rPr>
      <t>)</t>
    </r>
  </si>
  <si>
    <t>Totaux Salaires plafonnés</t>
  </si>
  <si>
    <t>Cotisations Employeur</t>
  </si>
  <si>
    <t>Cotisations travailleurs</t>
  </si>
  <si>
    <t>COTISATIONS FMFP</t>
  </si>
  <si>
    <t>02-2023</t>
  </si>
  <si>
    <t>1 %</t>
  </si>
  <si>
    <t>RECAPITULATION</t>
  </si>
  <si>
    <t xml:space="preserve">MOIS CONCERNE </t>
  </si>
  <si>
    <t xml:space="preserve">Effectif mensuel (OBLIGATOIRE) </t>
  </si>
  <si>
    <t xml:space="preserve"> ** Reporter ci-dessus les totaux obtenus dans les onglets Mois 1, 2 et 3.</t>
  </si>
  <si>
    <t>Matricule</t>
  </si>
  <si>
    <t>CIN</t>
  </si>
  <si>
    <t>Prénom(s)</t>
  </si>
  <si>
    <t>Réf. Employeur</t>
  </si>
  <si>
    <t>Embauche</t>
  </si>
  <si>
    <t>Débauche</t>
  </si>
  <si>
    <t>M1</t>
  </si>
  <si>
    <t>M2</t>
  </si>
  <si>
    <t>M3</t>
  </si>
  <si>
    <t>Occasionnel</t>
  </si>
  <si>
    <t>Téléphone</t>
  </si>
  <si>
    <t>Email</t>
  </si>
  <si>
    <t>N° employé</t>
  </si>
  <si>
    <t>Salaire</t>
  </si>
  <si>
    <t>Avantage</t>
  </si>
  <si>
    <t>TP</t>
  </si>
  <si>
    <t>Plafond</t>
  </si>
  <si>
    <t>FMFP</t>
  </si>
  <si>
    <t>S9</t>
  </si>
  <si>
    <t>N</t>
  </si>
  <si>
    <t>S25</t>
  </si>
  <si>
    <t>S31</t>
  </si>
  <si>
    <t>S57</t>
  </si>
  <si>
    <t>S2</t>
  </si>
  <si>
    <t>S3</t>
  </si>
  <si>
    <t>S48</t>
  </si>
  <si>
    <t>S45</t>
  </si>
  <si>
    <t>S8</t>
  </si>
  <si>
    <t>S1</t>
  </si>
  <si>
    <t>S6</t>
  </si>
  <si>
    <t>S58</t>
  </si>
  <si>
    <t>C.Na.P.S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</si>
  <si>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ahiry 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amatsiam-bola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alagasy ho 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ampandrosoana ny m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iasa</t>
    </r>
  </si>
  <si>
    <t>Trimestre précédent</t>
  </si>
  <si>
    <t>Place Ho Chi MINH Ampefiloha Antananarivo</t>
  </si>
  <si>
    <t>F.M.F.P</t>
  </si>
  <si>
    <t>---------------------</t>
  </si>
  <si>
    <t>Tour Zital Ankorondrano Antananarivo</t>
  </si>
  <si>
    <t>BP : 23 - TEL : 22 205 20 - FAX : 22 255 96</t>
  </si>
  <si>
    <t>--------------------------</t>
  </si>
  <si>
    <t>Site web: http://www/cnaps/mg</t>
  </si>
  <si>
    <t>TEL : 22 538 86 - 034 42 593 33</t>
  </si>
  <si>
    <t>Loi n°2017-025 du 30/01/2018 - Décret n°2018-1509 du 13/11/2018</t>
  </si>
  <si>
    <r>
      <t xml:space="preserve">Pour les déclarations, e-mail: </t>
    </r>
    <r>
      <rPr>
        <b/>
        <sz val="11"/>
        <color theme="1"/>
        <rFont val="Calibri"/>
        <family val="2"/>
        <scheme val="minor"/>
      </rPr>
      <t>cnaps-dn@cnaps.mg</t>
    </r>
    <r>
      <rPr>
        <sz val="11"/>
        <color theme="1"/>
        <rFont val="Calibri"/>
        <family val="2"/>
        <scheme val="minor"/>
      </rPr>
      <t xml:space="preserve"> ou Site web: http://www.cnaps.mg/ ou dossier physique à déposer aux bureaux de la CNaPS</t>
    </r>
  </si>
  <si>
    <t>TALON DES DECLARATIONS NOMINATIVES DES SALAIRES</t>
  </si>
  <si>
    <t>Employeur:</t>
  </si>
  <si>
    <r>
      <rPr>
        <b/>
        <sz val="11"/>
        <color theme="1"/>
        <rFont val="Calibri"/>
        <family val="2"/>
        <scheme val="minor"/>
      </rPr>
      <t>Adresse:</t>
    </r>
    <r>
      <rPr>
        <sz val="11"/>
        <color theme="1"/>
        <rFont val="Calibri"/>
        <family val="2"/>
        <scheme val="minor"/>
      </rPr>
      <t xml:space="preserve"> BEMASOANDRO ANKAZOMIANKO VAVATENINA VAVATENINA 518</t>
    </r>
  </si>
  <si>
    <t>Tél:</t>
  </si>
  <si>
    <t>E-mail:</t>
  </si>
  <si>
    <t>CAISSE NATIONALE DE PREVOYANCE SOCIALE</t>
  </si>
  <si>
    <t>FONDS MALGACHE DE FORMATION PROFESSIONNELLE</t>
  </si>
  <si>
    <t>tahiry Famatsiam-bola Malagasy ho Fampandrosoana ny mPiasa - F.M.F.P</t>
  </si>
  <si>
    <r>
      <rPr>
        <b/>
        <sz val="11"/>
        <color theme="1"/>
        <rFont val="Calibri"/>
        <family val="2"/>
        <scheme val="minor"/>
      </rPr>
      <t>Code activité Employeur:</t>
    </r>
    <r>
      <rPr>
        <sz val="11"/>
        <color theme="1"/>
        <rFont val="Calibri"/>
        <family val="2"/>
        <scheme val="minor"/>
      </rPr>
      <t xml:space="preserve"> 825</t>
    </r>
  </si>
  <si>
    <t>--------------------------------</t>
  </si>
  <si>
    <r>
      <rPr>
        <b/>
        <sz val="11"/>
        <color theme="1"/>
        <rFont val="Calibri"/>
        <family val="2"/>
        <scheme val="minor"/>
      </rPr>
      <t>Taux de cotisation employeur:</t>
    </r>
    <r>
      <rPr>
        <sz val="11"/>
        <color theme="1"/>
        <rFont val="Calibri"/>
        <family val="2"/>
        <scheme val="minor"/>
      </rPr>
      <t xml:space="preserve"> 13%</t>
    </r>
  </si>
  <si>
    <t>Taux de cotisation employeur : 1%</t>
  </si>
  <si>
    <r>
      <rPr>
        <b/>
        <sz val="11"/>
        <color theme="1"/>
        <rFont val="Calibri"/>
        <family val="2"/>
        <scheme val="minor"/>
      </rPr>
      <t>Taux de cotisation travailleur:</t>
    </r>
    <r>
      <rPr>
        <sz val="11"/>
        <color theme="1"/>
        <rFont val="Calibri"/>
        <family val="2"/>
        <scheme val="minor"/>
      </rPr>
      <t xml:space="preserve"> 1%</t>
    </r>
  </si>
  <si>
    <r>
      <rPr>
        <b/>
        <sz val="11"/>
        <color theme="1"/>
        <rFont val="Calibri"/>
        <family val="2"/>
        <scheme val="minor"/>
      </rPr>
      <t>Plafond mensuel :</t>
    </r>
    <r>
      <rPr>
        <sz val="11"/>
        <color theme="1"/>
        <rFont val="Calibri"/>
        <family val="2"/>
        <scheme val="minor"/>
      </rPr>
      <t xml:space="preserve"> Ar 2 101 440</t>
    </r>
  </si>
  <si>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1- Textile Habillement Accessoires (THA)</t>
    </r>
  </si>
  <si>
    <r>
      <rPr>
        <sz val="18"/>
        <color theme="1"/>
        <rFont val="Calibri"/>
        <family val="2"/>
        <scheme val="minor"/>
      </rPr>
      <t xml:space="preserve">□ </t>
    </r>
    <r>
      <rPr>
        <sz val="11"/>
        <color theme="1"/>
        <rFont val="Calibri"/>
        <family val="2"/>
        <scheme val="minor"/>
      </rPr>
      <t>2 - Tourisme Hôtelerie Restauration (THR)</t>
    </r>
  </si>
  <si>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3- Technologies de l'information et de la Communication (TIC)</t>
    </r>
  </si>
  <si>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4- Bâtiment Travaux Publics - Ressources Stratégiques (BTP - RS)</t>
    </r>
  </si>
  <si>
    <r>
      <rPr>
        <sz val="14"/>
        <color theme="1"/>
        <rFont val="Wingdings"/>
        <charset val="2"/>
      </rPr>
      <t>x</t>
    </r>
    <r>
      <rPr>
        <sz val="11"/>
        <color theme="1"/>
        <rFont val="Calibri"/>
        <family val="2"/>
        <scheme val="minor"/>
      </rPr>
      <t xml:space="preserve"> 5- Développement Rural (DR)</t>
    </r>
  </si>
  <si>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6- Autres Secteurs</t>
    </r>
  </si>
  <si>
    <t>Salaire non plafonné</t>
  </si>
  <si>
    <t>Salaire plafonné</t>
  </si>
  <si>
    <t>Total cotisation employeur</t>
  </si>
  <si>
    <t>Total cotisation formation</t>
  </si>
  <si>
    <t>Total cotisation travailleur</t>
  </si>
  <si>
    <t>Majoration de retard</t>
  </si>
  <si>
    <t xml:space="preserve">-      </t>
  </si>
  <si>
    <t>Net à payer</t>
  </si>
  <si>
    <t>Date de versement</t>
  </si>
  <si>
    <t>Total effectif travailleurs</t>
  </si>
  <si>
    <t>(Listés dans DNS)</t>
  </si>
  <si>
    <t>MODE DE VERSEMENT</t>
  </si>
  <si>
    <t>0 - Trésor Chèque N°</t>
  </si>
  <si>
    <t>Avis de crédit</t>
  </si>
  <si>
    <t>1 - Espèce avec reçu N°</t>
  </si>
  <si>
    <t>2 - Chèque N°</t>
  </si>
  <si>
    <t>3 - Virement N°</t>
  </si>
  <si>
    <t>4 Virement postal</t>
  </si>
  <si>
    <t>5 M'Vola (réf de paiement)</t>
  </si>
  <si>
    <t>Vavatenina, le 17 Octobre 2024 Certifié sincère et véritable - (Cachet et signature)</t>
  </si>
  <si>
    <t>Octobre</t>
  </si>
  <si>
    <t>Novembre</t>
  </si>
  <si>
    <t>Décembre</t>
  </si>
  <si>
    <t>Charge CNaPS</t>
  </si>
  <si>
    <t>Total FMFP</t>
  </si>
  <si>
    <t>860928004436</t>
  </si>
  <si>
    <t>301051014050</t>
  </si>
  <si>
    <t xml:space="preserve">GALY </t>
  </si>
  <si>
    <t>/</t>
  </si>
  <si>
    <t>0346166200</t>
  </si>
  <si>
    <t>870101049411</t>
  </si>
  <si>
    <t>114171010430</t>
  </si>
  <si>
    <t xml:space="preserve">DAHY </t>
  </si>
  <si>
    <t>0346059830</t>
  </si>
  <si>
    <t>872926001528</t>
  </si>
  <si>
    <t>315012021066</t>
  </si>
  <si>
    <t xml:space="preserve">SAMIANGALY </t>
  </si>
  <si>
    <t>0345938882</t>
  </si>
  <si>
    <t>880505006093</t>
  </si>
  <si>
    <t>313011021032</t>
  </si>
  <si>
    <t xml:space="preserve">RANDRIAMINOHARINIRINA </t>
  </si>
  <si>
    <t>0341059605</t>
  </si>
  <si>
    <t>900502008862</t>
  </si>
  <si>
    <t xml:space="preserve">305011023865 </t>
  </si>
  <si>
    <t xml:space="preserve">VICTORIEN </t>
  </si>
  <si>
    <t>0348771682</t>
  </si>
  <si>
    <t>902310004794</t>
  </si>
  <si>
    <t>305011020286</t>
  </si>
  <si>
    <t xml:space="preserve">RANDRIAMPENOMANANA </t>
  </si>
  <si>
    <t>0342431748</t>
  </si>
  <si>
    <t>910101108553</t>
  </si>
  <si>
    <t>315051019810</t>
  </si>
  <si>
    <t xml:space="preserve">TSARAVINTANA </t>
  </si>
  <si>
    <t>0346732461</t>
  </si>
  <si>
    <t>913222003933</t>
  </si>
  <si>
    <t>312012020745</t>
  </si>
  <si>
    <t xml:space="preserve">KWAN_KAI-TON </t>
  </si>
  <si>
    <t>0346845550</t>
  </si>
  <si>
    <t>910817005636</t>
  </si>
  <si>
    <t>318011030815</t>
  </si>
  <si>
    <t xml:space="preserve">FENOMANANA </t>
  </si>
  <si>
    <t>0347339392</t>
  </si>
  <si>
    <t>000819002120</t>
  </si>
  <si>
    <t>106501017655</t>
  </si>
  <si>
    <t xml:space="preserve">HERIMAMINAVALONA </t>
  </si>
  <si>
    <t>0346557563</t>
  </si>
  <si>
    <t>662303003212</t>
  </si>
  <si>
    <t>315012010015</t>
  </si>
  <si>
    <t xml:space="preserve">BIAKA </t>
  </si>
  <si>
    <t>0389724197</t>
  </si>
  <si>
    <t>680101123586</t>
  </si>
  <si>
    <t>315051005651</t>
  </si>
  <si>
    <t/>
  </si>
  <si>
    <t>0345563316</t>
  </si>
  <si>
    <t>690101071333</t>
  </si>
  <si>
    <t>315011012731</t>
  </si>
  <si>
    <t>0383954516</t>
  </si>
  <si>
    <t>710809002458</t>
  </si>
  <si>
    <t>301091003840</t>
  </si>
  <si>
    <t xml:space="preserve">RABERIAKA </t>
  </si>
  <si>
    <t>0347118414</t>
  </si>
  <si>
    <t>730926003826</t>
  </si>
  <si>
    <t>315011014867</t>
  </si>
  <si>
    <t>0384838550</t>
  </si>
  <si>
    <t>750318006073</t>
  </si>
  <si>
    <t>301091007383</t>
  </si>
  <si>
    <t xml:space="preserve">RAMANJAKAMBALO </t>
  </si>
  <si>
    <t>0344387533</t>
  </si>
  <si>
    <t>810803005367</t>
  </si>
  <si>
    <t>315011018148</t>
  </si>
  <si>
    <t xml:space="preserve">TSIZAFY </t>
  </si>
  <si>
    <t>0349549718</t>
  </si>
  <si>
    <t>822101041870</t>
  </si>
  <si>
    <t>315012020356</t>
  </si>
  <si>
    <t xml:space="preserve">RAVOLAMBAHOAKA </t>
  </si>
  <si>
    <t>840712004464</t>
  </si>
  <si>
    <t>108051009775</t>
  </si>
  <si>
    <t xml:space="preserve">RAZAFINTSALAMA </t>
  </si>
  <si>
    <t>0348521408</t>
  </si>
  <si>
    <t>842123004658</t>
  </si>
  <si>
    <t>305012013363</t>
  </si>
  <si>
    <t xml:space="preserve">VOLAHAINGO </t>
  </si>
  <si>
    <t>0382203653</t>
  </si>
  <si>
    <t>920919005564</t>
  </si>
  <si>
    <t>305011024168</t>
  </si>
  <si>
    <t xml:space="preserve">TSIRA </t>
  </si>
  <si>
    <t>0342516349</t>
  </si>
  <si>
    <t>920925003602</t>
  </si>
  <si>
    <t>201031036732</t>
  </si>
  <si>
    <t xml:space="preserve">RAKOTOELINORO </t>
  </si>
  <si>
    <t>0346839275</t>
  </si>
  <si>
    <t>931225004475</t>
  </si>
  <si>
    <t>305011031220</t>
  </si>
  <si>
    <t xml:space="preserve">LAMA </t>
  </si>
  <si>
    <t>0346987900</t>
  </si>
  <si>
    <t>305012036357</t>
  </si>
  <si>
    <t>305011026202</t>
  </si>
  <si>
    <t xml:space="preserve">RAHARISON </t>
  </si>
  <si>
    <t>0347571774</t>
  </si>
  <si>
    <t>940814005961</t>
  </si>
  <si>
    <t>305011029482</t>
  </si>
  <si>
    <t xml:space="preserve">BERY </t>
  </si>
  <si>
    <t>0341761222</t>
  </si>
  <si>
    <t>950118001239</t>
  </si>
  <si>
    <t>315031008057</t>
  </si>
  <si>
    <t xml:space="preserve">RANDRIANANTENAINA </t>
  </si>
  <si>
    <t>0345063639</t>
  </si>
  <si>
    <t>952711003017</t>
  </si>
  <si>
    <t>305012030611</t>
  </si>
  <si>
    <t>0348236771</t>
  </si>
  <si>
    <t>960101063306</t>
  </si>
  <si>
    <t>305011037183</t>
  </si>
  <si>
    <t xml:space="preserve">TOTO </t>
  </si>
  <si>
    <t>0342425815</t>
  </si>
  <si>
    <t>970529004452</t>
  </si>
  <si>
    <t>103311003453</t>
  </si>
  <si>
    <t xml:space="preserve">MAMONJISOA </t>
  </si>
  <si>
    <t>0381770988</t>
  </si>
  <si>
    <t>970608003979</t>
  </si>
  <si>
    <t>315011029815</t>
  </si>
  <si>
    <t>0340809115</t>
  </si>
  <si>
    <t>981124001527</t>
  </si>
  <si>
    <t>103431003278</t>
  </si>
  <si>
    <t xml:space="preserve">RAHARIZARASOA </t>
  </si>
  <si>
    <t>0345973648</t>
  </si>
  <si>
    <t>982523003831</t>
  </si>
  <si>
    <t xml:space="preserve">305012036357 </t>
  </si>
  <si>
    <t xml:space="preserve">SEDRANIAINA </t>
  </si>
  <si>
    <t xml:space="preserve">Santatra Irène </t>
  </si>
  <si>
    <t>0344869434</t>
  </si>
  <si>
    <t>990707004571</t>
  </si>
  <si>
    <t>315011034168</t>
  </si>
  <si>
    <t xml:space="preserve">MAROLAHY </t>
  </si>
  <si>
    <t>0341178292</t>
  </si>
  <si>
    <t>842401003931</t>
  </si>
  <si>
    <t>201012011872</t>
  </si>
  <si>
    <t xml:space="preserve">BAKOARISOA </t>
  </si>
  <si>
    <t>0341677984</t>
  </si>
  <si>
    <t>940927003786</t>
  </si>
  <si>
    <t>305011026832</t>
  </si>
  <si>
    <t xml:space="preserve">SOMA </t>
  </si>
  <si>
    <t>0340922470</t>
  </si>
  <si>
    <t>950209003407</t>
  </si>
  <si>
    <t>305011031886</t>
  </si>
  <si>
    <t xml:space="preserve">BIHANONA </t>
  </si>
  <si>
    <t>0345004020</t>
  </si>
  <si>
    <t>950609006301</t>
  </si>
  <si>
    <t>315011029171</t>
  </si>
  <si>
    <t xml:space="preserve">RAZAFINDRIANTSY </t>
  </si>
  <si>
    <t>0344639248</t>
  </si>
  <si>
    <t>990310006547</t>
  </si>
  <si>
    <t xml:space="preserve">305111010829 </t>
  </si>
  <si>
    <t xml:space="preserve">YOURI </t>
  </si>
  <si>
    <t>0342988567</t>
  </si>
  <si>
    <t>930101132177</t>
  </si>
  <si>
    <t xml:space="preserve">305111009175 </t>
  </si>
  <si>
    <t>0347900214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</si>
</sst>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mm\-yyyy"/>
    <numFmt numFmtId="166" formatCode="[$-40C]mmm\-yy;@"/>
    <numFmt numFmtId="167" formatCode="_(* #,##0.00_);_(* \(#,##0.00\);_(* &quot;-&quot;??_);_(@_)"/>
    <numFmt numFmtId="168" formatCode="_-* #,##0.00\ _€_-;\-* #,##0.00\ _€_-;_-* &quot;-&quot;??\ _€_-;_-@_-"/>
    <numFmt numFmtId="169" formatCode="dd/mm/yy;@"/>
  </numFmts>
  <fonts count="2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u/>
      <sz val="16"/>
      <color indexed="12"/>
      <name val="Arial Narrow"/>
      <family val="2"/>
    </font>
    <font>
      <sz val="14"/>
      <name val="Symbol"/>
      <family val="1"/>
      <charset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2"/>
      <scheme val="minor"/>
    </font>
    <font>
      <sz val="14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1" fillId="0" borderId="0"/>
  </cellStyleXfs>
  <cellXfs count="124">
    <xf numFmtId="0" fontId="0" fillId="0" borderId="0" xfId="0"/>
    <xf numFmtId="0" fontId="8" fillId="0" borderId="0" xfId="3" applyFont="1"/>
    <xf numFmtId="0" fontId="7" fillId="0" borderId="0" xfId="3"/>
    <xf numFmtId="3" fontId="7" fillId="0" borderId="0" xfId="3" applyNumberFormat="1"/>
    <xf numFmtId="3" fontId="7" fillId="0" borderId="0" xfId="3" applyNumberFormat="1" applyAlignment="1">
      <alignment horizontal="center"/>
    </xf>
    <xf numFmtId="0" fontId="7" fillId="0" borderId="0" xfId="3" applyAlignment="1">
      <alignment horizontal="left"/>
    </xf>
    <xf numFmtId="0" fontId="7" fillId="0" borderId="0" xfId="3" applyAlignment="1">
      <alignment horizontal="center"/>
    </xf>
    <xf numFmtId="3" fontId="7" fillId="0" borderId="0" xfId="3" quotePrefix="1" applyNumberFormat="1" applyAlignment="1">
      <alignment horizontal="center"/>
    </xf>
    <xf numFmtId="0" fontId="6" fillId="0" borderId="0" xfId="2" applyBorder="1" applyAlignment="1"/>
    <xf numFmtId="165" fontId="7" fillId="0" borderId="1" xfId="3" applyNumberFormat="1" applyBorder="1"/>
    <xf numFmtId="0" fontId="7" fillId="0" borderId="1" xfId="3" applyBorder="1"/>
    <xf numFmtId="9" fontId="7" fillId="0" borderId="1" xfId="3" applyNumberFormat="1" applyBorder="1"/>
    <xf numFmtId="166" fontId="7" fillId="0" borderId="1" xfId="3" applyNumberFormat="1" applyBorder="1"/>
    <xf numFmtId="0" fontId="9" fillId="0" borderId="1" xfId="3" applyFont="1" applyBorder="1" applyAlignment="1">
      <alignment horizontal="center"/>
    </xf>
    <xf numFmtId="4" fontId="7" fillId="0" borderId="1" xfId="3" applyNumberFormat="1" applyBorder="1"/>
    <xf numFmtId="167" fontId="7" fillId="0" borderId="0" xfId="4" applyFont="1"/>
    <xf numFmtId="168" fontId="7" fillId="0" borderId="0" xfId="3" applyNumberFormat="1"/>
    <xf numFmtId="0" fontId="7" fillId="0" borderId="2" xfId="3" applyBorder="1"/>
    <xf numFmtId="4" fontId="7" fillId="0" borderId="2" xfId="3" applyNumberFormat="1" applyBorder="1"/>
    <xf numFmtId="4" fontId="7" fillId="0" borderId="0" xfId="3" applyNumberFormat="1"/>
    <xf numFmtId="49" fontId="10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3" xfId="0" applyNumberFormat="1" applyFont="1" applyBorder="1" applyAlignment="1">
      <alignment horizontal="left"/>
    </xf>
    <xf numFmtId="49" fontId="12" fillId="0" borderId="4" xfId="0" applyNumberFormat="1" applyFont="1" applyBorder="1" applyAlignment="1">
      <alignment horizontal="left"/>
    </xf>
    <xf numFmtId="0" fontId="0" fillId="0" borderId="5" xfId="0" applyBorder="1"/>
    <xf numFmtId="1" fontId="11" fillId="0" borderId="4" xfId="0" applyNumberFormat="1" applyFont="1" applyBorder="1" applyAlignment="1">
      <alignment horizontal="right"/>
    </xf>
    <xf numFmtId="49" fontId="11" fillId="0" borderId="6" xfId="0" applyNumberFormat="1" applyFont="1" applyBorder="1" applyAlignment="1">
      <alignment horizontal="left"/>
    </xf>
    <xf numFmtId="0" fontId="13" fillId="0" borderId="0" xfId="3" applyFont="1"/>
    <xf numFmtId="0" fontId="14" fillId="0" borderId="0" xfId="3" applyFont="1"/>
    <xf numFmtId="0" fontId="15" fillId="0" borderId="7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167" fontId="15" fillId="0" borderId="8" xfId="4" applyFont="1" applyFill="1" applyBorder="1" applyAlignment="1">
      <alignment horizontal="center" vertical="center"/>
    </xf>
    <xf numFmtId="167" fontId="15" fillId="0" borderId="0" xfId="4" applyFont="1" applyFill="1" applyBorder="1" applyAlignment="1">
      <alignment horizontal="center" vertical="center"/>
    </xf>
    <xf numFmtId="167" fontId="15" fillId="0" borderId="9" xfId="4" applyFont="1" applyFill="1" applyBorder="1" applyAlignment="1">
      <alignment horizontal="center" vertical="center"/>
    </xf>
    <xf numFmtId="167" fontId="15" fillId="0" borderId="7" xfId="4" applyFont="1" applyFill="1" applyBorder="1" applyAlignment="1">
      <alignment vertical="center"/>
    </xf>
    <xf numFmtId="0" fontId="15" fillId="0" borderId="7" xfId="3" applyFont="1" applyBorder="1" applyAlignment="1">
      <alignment horizontal="center" vertical="center"/>
    </xf>
    <xf numFmtId="0" fontId="15" fillId="0" borderId="10" xfId="3" applyFont="1" applyBorder="1"/>
    <xf numFmtId="0" fontId="15" fillId="0" borderId="1" xfId="3" applyFont="1" applyBorder="1"/>
    <xf numFmtId="167" fontId="14" fillId="0" borderId="0" xfId="4" applyFont="1"/>
    <xf numFmtId="0" fontId="16" fillId="0" borderId="0" xfId="3" applyFont="1"/>
    <xf numFmtId="0" fontId="15" fillId="0" borderId="11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7" fillId="0" borderId="11" xfId="3" applyBorder="1" applyAlignment="1">
      <alignment horizontal="center" vertical="center"/>
    </xf>
    <xf numFmtId="167" fontId="15" fillId="0" borderId="7" xfId="4" applyFont="1" applyFill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/>
    </xf>
    <xf numFmtId="0" fontId="15" fillId="0" borderId="10" xfId="3" applyFont="1" applyBorder="1" applyAlignment="1">
      <alignment horizontal="center"/>
    </xf>
    <xf numFmtId="0" fontId="14" fillId="0" borderId="1" xfId="3" applyFont="1" applyBorder="1"/>
    <xf numFmtId="169" fontId="14" fillId="0" borderId="1" xfId="3" applyNumberFormat="1" applyFont="1" applyBorder="1"/>
    <xf numFmtId="4" fontId="14" fillId="0" borderId="1" xfId="4" applyNumberFormat="1" applyFont="1" applyFill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2" fontId="14" fillId="0" borderId="1" xfId="3" applyNumberFormat="1" applyFont="1" applyBorder="1" applyAlignment="1">
      <alignment horizontal="center" vertical="center"/>
    </xf>
    <xf numFmtId="2" fontId="14" fillId="0" borderId="1" xfId="3" applyNumberFormat="1" applyFont="1" applyBorder="1" applyAlignment="1">
      <alignment horizontal="right"/>
    </xf>
    <xf numFmtId="0" fontId="17" fillId="0" borderId="0" xfId="3" applyFont="1"/>
    <xf numFmtId="0" fontId="18" fillId="0" borderId="0" xfId="3" applyFont="1" applyAlignment="1">
      <alignment horizontal="left" indent="7"/>
    </xf>
    <xf numFmtId="0" fontId="1" fillId="0" borderId="12" xfId="5" applyBorder="1" applyAlignment="1">
      <alignment horizontal="center"/>
    </xf>
    <xf numFmtId="0" fontId="1" fillId="0" borderId="2" xfId="5" applyBorder="1" applyAlignment="1">
      <alignment horizontal="center"/>
    </xf>
    <xf numFmtId="0" fontId="1" fillId="0" borderId="13" xfId="5" applyBorder="1" applyAlignment="1">
      <alignment horizontal="center"/>
    </xf>
    <xf numFmtId="0" fontId="1" fillId="0" borderId="0" xfId="5" applyAlignment="1">
      <alignment horizontal="center"/>
    </xf>
    <xf numFmtId="0" fontId="1" fillId="0" borderId="0" xfId="5"/>
    <xf numFmtId="14" fontId="1" fillId="0" borderId="0" xfId="5" applyNumberFormat="1"/>
    <xf numFmtId="0" fontId="1" fillId="0" borderId="8" xfId="5" applyBorder="1" applyAlignment="1">
      <alignment horizontal="center"/>
    </xf>
    <xf numFmtId="0" fontId="1" fillId="0" borderId="0" xfId="5" applyAlignment="1">
      <alignment horizontal="center"/>
    </xf>
    <xf numFmtId="0" fontId="1" fillId="0" borderId="9" xfId="5" applyBorder="1" applyAlignment="1">
      <alignment horizontal="center"/>
    </xf>
    <xf numFmtId="0" fontId="1" fillId="0" borderId="8" xfId="5" quotePrefix="1" applyBorder="1" applyAlignment="1">
      <alignment horizontal="center"/>
    </xf>
    <xf numFmtId="0" fontId="1" fillId="0" borderId="0" xfId="5" quotePrefix="1" applyAlignment="1">
      <alignment horizontal="center"/>
    </xf>
    <xf numFmtId="0" fontId="1" fillId="0" borderId="9" xfId="5" quotePrefix="1" applyBorder="1" applyAlignment="1">
      <alignment horizontal="center"/>
    </xf>
    <xf numFmtId="0" fontId="1" fillId="0" borderId="0" xfId="5" quotePrefix="1" applyAlignment="1">
      <alignment horizontal="center"/>
    </xf>
    <xf numFmtId="0" fontId="3" fillId="0" borderId="8" xfId="5" applyFont="1" applyBorder="1" applyAlignment="1">
      <alignment horizontal="center"/>
    </xf>
    <xf numFmtId="0" fontId="3" fillId="0" borderId="0" xfId="5" applyFont="1" applyAlignment="1">
      <alignment horizontal="center"/>
    </xf>
    <xf numFmtId="0" fontId="3" fillId="0" borderId="9" xfId="5" applyFont="1" applyBorder="1" applyAlignment="1">
      <alignment horizontal="center"/>
    </xf>
    <xf numFmtId="0" fontId="3" fillId="0" borderId="0" xfId="5" applyFont="1" applyAlignment="1">
      <alignment horizontal="center"/>
    </xf>
    <xf numFmtId="0" fontId="1" fillId="0" borderId="14" xfId="5" applyBorder="1"/>
    <xf numFmtId="0" fontId="1" fillId="0" borderId="15" xfId="5" applyBorder="1"/>
    <xf numFmtId="0" fontId="1" fillId="0" borderId="16" xfId="5" applyBorder="1"/>
    <xf numFmtId="0" fontId="19" fillId="0" borderId="14" xfId="5" applyFont="1" applyBorder="1" applyAlignment="1">
      <alignment horizontal="center"/>
    </xf>
    <xf numFmtId="0" fontId="19" fillId="0" borderId="15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" fillId="0" borderId="17" xfId="5" applyBorder="1" applyAlignment="1">
      <alignment horizontal="center" vertical="top" wrapText="1"/>
    </xf>
    <xf numFmtId="0" fontId="1" fillId="0" borderId="18" xfId="5" applyBorder="1" applyAlignment="1">
      <alignment horizontal="center" vertical="top" wrapText="1"/>
    </xf>
    <xf numFmtId="0" fontId="1" fillId="0" borderId="10" xfId="5" applyBorder="1" applyAlignment="1">
      <alignment horizontal="center" vertical="top" wrapText="1"/>
    </xf>
    <xf numFmtId="0" fontId="1" fillId="0" borderId="0" xfId="5" applyAlignment="1">
      <alignment horizontal="center" vertical="top" wrapText="1"/>
    </xf>
    <xf numFmtId="0" fontId="3" fillId="0" borderId="12" xfId="5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13" xfId="5" applyFont="1" applyBorder="1" applyAlignment="1">
      <alignment horizontal="center"/>
    </xf>
    <xf numFmtId="0" fontId="1" fillId="0" borderId="8" xfId="5" applyBorder="1"/>
    <xf numFmtId="0" fontId="1" fillId="0" borderId="9" xfId="5" applyBorder="1"/>
    <xf numFmtId="0" fontId="3" fillId="0" borderId="8" xfId="5" applyFont="1" applyBorder="1"/>
    <xf numFmtId="0" fontId="3" fillId="0" borderId="0" xfId="5" applyFont="1"/>
    <xf numFmtId="0" fontId="3" fillId="0" borderId="15" xfId="5" applyFont="1" applyBorder="1"/>
    <xf numFmtId="0" fontId="20" fillId="0" borderId="8" xfId="5" applyFont="1" applyBorder="1" applyAlignment="1">
      <alignment horizontal="center"/>
    </xf>
    <xf numFmtId="0" fontId="20" fillId="0" borderId="0" xfId="5" applyFont="1" applyAlignment="1">
      <alignment horizontal="center"/>
    </xf>
    <xf numFmtId="0" fontId="20" fillId="0" borderId="9" xfId="5" applyFont="1" applyBorder="1" applyAlignment="1">
      <alignment horizontal="center"/>
    </xf>
    <xf numFmtId="0" fontId="22" fillId="0" borderId="8" xfId="5" applyFont="1" applyBorder="1"/>
    <xf numFmtId="0" fontId="1" fillId="0" borderId="12" xfId="5" applyBorder="1"/>
    <xf numFmtId="0" fontId="1" fillId="0" borderId="2" xfId="5" applyBorder="1"/>
    <xf numFmtId="167" fontId="1" fillId="0" borderId="0" xfId="4" applyFont="1" applyBorder="1" applyAlignment="1">
      <alignment horizontal="center"/>
    </xf>
    <xf numFmtId="167" fontId="1" fillId="0" borderId="9" xfId="4" applyFont="1" applyBorder="1" applyAlignment="1">
      <alignment horizontal="center"/>
    </xf>
    <xf numFmtId="167" fontId="1" fillId="0" borderId="2" xfId="5" applyNumberFormat="1" applyBorder="1" applyAlignment="1">
      <alignment horizontal="center"/>
    </xf>
    <xf numFmtId="167" fontId="1" fillId="0" borderId="13" xfId="5" applyNumberFormat="1" applyBorder="1" applyAlignment="1">
      <alignment horizontal="center"/>
    </xf>
    <xf numFmtId="167" fontId="1" fillId="0" borderId="0" xfId="5" applyNumberFormat="1" applyAlignment="1">
      <alignment horizontal="center"/>
    </xf>
    <xf numFmtId="167" fontId="1" fillId="0" borderId="9" xfId="5" applyNumberFormat="1" applyBorder="1" applyAlignment="1">
      <alignment horizontal="center"/>
    </xf>
    <xf numFmtId="168" fontId="1" fillId="0" borderId="0" xfId="5" applyNumberFormat="1"/>
    <xf numFmtId="0" fontId="1" fillId="0" borderId="0" xfId="5" quotePrefix="1" applyAlignment="1">
      <alignment horizontal="right"/>
    </xf>
    <xf numFmtId="0" fontId="1" fillId="0" borderId="9" xfId="5" applyBorder="1" applyAlignment="1">
      <alignment horizontal="right"/>
    </xf>
    <xf numFmtId="0" fontId="1" fillId="0" borderId="0" xfId="5" applyAlignment="1">
      <alignment horizontal="right"/>
    </xf>
    <xf numFmtId="167" fontId="1" fillId="0" borderId="0" xfId="5" applyNumberFormat="1" applyAlignment="1">
      <alignment horizontal="right"/>
    </xf>
    <xf numFmtId="167" fontId="1" fillId="0" borderId="9" xfId="5" applyNumberFormat="1" applyBorder="1" applyAlignment="1">
      <alignment horizontal="right"/>
    </xf>
    <xf numFmtId="14" fontId="1" fillId="0" borderId="9" xfId="5" applyNumberFormat="1" applyBorder="1"/>
    <xf numFmtId="14" fontId="1" fillId="0" borderId="0" xfId="5" applyNumberFormat="1" applyAlignment="1">
      <alignment horizontal="right"/>
    </xf>
    <xf numFmtId="14" fontId="1" fillId="0" borderId="9" xfId="5" applyNumberFormat="1" applyBorder="1" applyAlignment="1">
      <alignment horizontal="right"/>
    </xf>
    <xf numFmtId="0" fontId="1" fillId="0" borderId="9" xfId="5" quotePrefix="1" applyBorder="1" applyAlignment="1">
      <alignment horizontal="right"/>
    </xf>
    <xf numFmtId="0" fontId="1" fillId="0" borderId="9" xfId="5" applyBorder="1" applyAlignment="1">
      <alignment horizontal="right"/>
    </xf>
    <xf numFmtId="0" fontId="0" fillId="0" borderId="0" xfId="0" applyAlignment="1"/>
    <xf numFmtId="0" fontId="5" fillId="0" borderId="1" xfId="0" applyFont="1" applyBorder="1" applyAlignment="1"/>
    <xf numFmtId="0" fontId="0" fillId="0" borderId="1" xfId="0" applyBorder="1" applyAlignment="1"/>
    <xf numFmtId="43" fontId="0" fillId="0" borderId="1" xfId="1" applyFont="1" applyBorder="1"/>
    <xf numFmtId="43" fontId="5" fillId="0" borderId="1" xfId="1" applyFont="1" applyBorder="1"/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6">
    <cellStyle name="Lien hypertexte" xfId="2" builtinId="8"/>
    <cellStyle name="Milliers" xfId="1" builtinId="3"/>
    <cellStyle name="Milliers 2" xfId="4" xr:uid="{1C5AB2F2-1050-4A63-BD72-97AE1A939DDE}"/>
    <cellStyle name="Normal" xfId="0" builtinId="0"/>
    <cellStyle name="Normal 2 2" xfId="3" xr:uid="{3EB27530-6E91-4CD6-A182-BE6596B6BA8D}"/>
    <cellStyle name="Normal 5" xfId="5" xr:uid="{601C3B14-4C4D-43E0-89F6-C2CFC6469516}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S\admin\Fiches%20salaires%20et%20charges%20salariales.xlsm" TargetMode="External"/><Relationship Id="rId1" Type="http://schemas.openxmlformats.org/officeDocument/2006/relationships/externalLinkPath" Target="/DOCS/admin/Fiches%20salaires%20et%20charges%20salaria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es"/>
      <sheetName val="Comptes 1"/>
      <sheetName val="Sous-comptes"/>
      <sheetName val="Liste des employés"/>
      <sheetName val="dernier_contrat"/>
      <sheetName val="Liste des contrats"/>
      <sheetName val="Grille Salaire"/>
      <sheetName val="req organigramme"/>
      <sheetName val="Nb de jours des journaliers"/>
      <sheetName val="Grille indemnité"/>
      <sheetName val="liste des paiements"/>
      <sheetName val="fiches de paie gardiens"/>
      <sheetName val="fiches de paie employés"/>
      <sheetName val="fiches de paie Herizo"/>
      <sheetName val="Planning pour comptage jours"/>
      <sheetName val="indem herizo"/>
      <sheetName val="Planning"/>
      <sheetName val="Prestation"/>
      <sheetName val="facture prestation"/>
      <sheetName val="DIAME IRSA"/>
      <sheetName val="D.N IRSA "/>
      <sheetName val="D.N IRSA"/>
      <sheetName val="bordereau IRSA"/>
      <sheetName val="DIAME CNAPS"/>
      <sheetName val="historique Congé"/>
      <sheetName val="EMPLOYEUR"/>
      <sheetName val="Annexe DNS"/>
      <sheetName val="Talon DN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B1">
            <v>200000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ong.soakoj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3E55-7322-4EEA-9AC0-667A725EBAC7}">
  <sheetPr codeName="Feuil17"/>
  <dimension ref="A1:J42"/>
  <sheetViews>
    <sheetView view="pageBreakPreview" zoomScale="71" zoomScaleNormal="68" workbookViewId="0">
      <selection activeCell="G30" sqref="G30"/>
    </sheetView>
  </sheetViews>
  <sheetFormatPr baseColWidth="10" defaultColWidth="11" defaultRowHeight="15.75"/>
  <cols>
    <col min="1" max="1" width="24" style="114" bestFit="1" customWidth="1"/>
    <col min="2" max="2" width="22.625" style="114" bestFit="1" customWidth="1"/>
    <col min="3" max="10" width="19.625" customWidth="1"/>
  </cols>
  <sheetData>
    <row r="1" spans="1:10" s="121" customFormat="1">
      <c r="A1" s="119" t="s">
        <v>1</v>
      </c>
      <c r="B1" s="119" t="s">
        <v>2</v>
      </c>
      <c r="C1" s="120" t="s">
        <v>240</v>
      </c>
      <c r="D1" s="120"/>
      <c r="E1" s="120" t="s">
        <v>241</v>
      </c>
      <c r="F1" s="120"/>
      <c r="G1" s="120" t="s">
        <v>242</v>
      </c>
      <c r="H1" s="120"/>
      <c r="I1" s="119" t="s">
        <v>3</v>
      </c>
      <c r="J1" s="119" t="s">
        <v>244</v>
      </c>
    </row>
    <row r="2" spans="1:10" s="121" customFormat="1">
      <c r="A2" s="122"/>
      <c r="B2" s="122"/>
      <c r="C2" s="123" t="s">
        <v>243</v>
      </c>
      <c r="D2" s="123" t="s">
        <v>173</v>
      </c>
      <c r="E2" s="123" t="s">
        <v>243</v>
      </c>
      <c r="F2" s="123" t="s">
        <v>173</v>
      </c>
      <c r="G2" s="123" t="s">
        <v>243</v>
      </c>
      <c r="H2" s="123" t="s">
        <v>173</v>
      </c>
      <c r="I2" s="122"/>
      <c r="J2" s="122"/>
    </row>
    <row r="3" spans="1:10">
      <c r="A3" s="116" t="s">
        <v>5</v>
      </c>
      <c r="B3" s="116" t="s">
        <v>6</v>
      </c>
      <c r="C3" s="117">
        <v>217689.36</v>
      </c>
      <c r="D3" s="117">
        <v>15549.24</v>
      </c>
      <c r="E3" s="117">
        <v>217689.36</v>
      </c>
      <c r="F3" s="117">
        <v>15549.24</v>
      </c>
      <c r="G3" s="117">
        <v>217689.36</v>
      </c>
      <c r="H3" s="117">
        <v>15549.24</v>
      </c>
      <c r="I3" s="117">
        <v>653068.07999999996</v>
      </c>
      <c r="J3" s="117">
        <v>46647.72</v>
      </c>
    </row>
    <row r="4" spans="1:10">
      <c r="A4" s="116" t="s">
        <v>8</v>
      </c>
      <c r="B4" s="116" t="s">
        <v>9</v>
      </c>
      <c r="C4" s="117">
        <v>103143.88</v>
      </c>
      <c r="D4" s="117">
        <v>7367.42</v>
      </c>
      <c r="E4" s="117">
        <v>103143.88</v>
      </c>
      <c r="F4" s="117">
        <v>7367.42</v>
      </c>
      <c r="G4" s="117">
        <v>103143.88</v>
      </c>
      <c r="H4" s="117">
        <v>7367.42</v>
      </c>
      <c r="I4" s="117">
        <v>309431.64</v>
      </c>
      <c r="J4" s="117">
        <v>22102.26</v>
      </c>
    </row>
    <row r="5" spans="1:10">
      <c r="A5" s="116" t="s">
        <v>11</v>
      </c>
      <c r="B5" s="116" t="s">
        <v>12</v>
      </c>
      <c r="C5" s="117">
        <v>195770.26</v>
      </c>
      <c r="D5" s="117">
        <v>13983.59</v>
      </c>
      <c r="E5" s="117">
        <v>195770.26</v>
      </c>
      <c r="F5" s="117">
        <v>13983.59</v>
      </c>
      <c r="G5" s="117">
        <v>195770.26</v>
      </c>
      <c r="H5" s="117">
        <v>13983.59</v>
      </c>
      <c r="I5" s="117">
        <v>587310.78</v>
      </c>
      <c r="J5" s="117">
        <v>41950.77</v>
      </c>
    </row>
    <row r="6" spans="1:10">
      <c r="A6" s="116" t="s">
        <v>14</v>
      </c>
      <c r="B6" s="116" t="s">
        <v>15</v>
      </c>
      <c r="C6" s="117">
        <v>89356.12</v>
      </c>
      <c r="D6" s="117">
        <v>6382.58</v>
      </c>
      <c r="E6" s="117">
        <v>89356.12</v>
      </c>
      <c r="F6" s="117">
        <v>6382.58</v>
      </c>
      <c r="G6" s="117">
        <v>89356.12</v>
      </c>
      <c r="H6" s="117">
        <v>6382.58</v>
      </c>
      <c r="I6" s="117">
        <v>268068.36</v>
      </c>
      <c r="J6" s="117">
        <v>19147.740000000002</v>
      </c>
    </row>
    <row r="7" spans="1:10">
      <c r="A7" s="116" t="s">
        <v>17</v>
      </c>
      <c r="B7" s="116"/>
      <c r="C7" s="117">
        <v>78361.22</v>
      </c>
      <c r="D7" s="117">
        <v>5597.23</v>
      </c>
      <c r="E7" s="117">
        <v>75172.72</v>
      </c>
      <c r="F7" s="117">
        <v>5369.48</v>
      </c>
      <c r="G7" s="117">
        <v>62646.5</v>
      </c>
      <c r="H7" s="117">
        <v>4474.75</v>
      </c>
      <c r="I7" s="117">
        <v>216180.44</v>
      </c>
      <c r="J7" s="117">
        <v>15441.46</v>
      </c>
    </row>
    <row r="8" spans="1:10">
      <c r="A8" s="116" t="s">
        <v>19</v>
      </c>
      <c r="B8" s="116" t="s">
        <v>20</v>
      </c>
      <c r="C8" s="117">
        <v>17393.88</v>
      </c>
      <c r="D8" s="117">
        <v>1242.42</v>
      </c>
      <c r="E8" s="117">
        <v>17393.88</v>
      </c>
      <c r="F8" s="117">
        <v>1242.42</v>
      </c>
      <c r="G8" s="117">
        <v>17393.88</v>
      </c>
      <c r="H8" s="117">
        <v>1242.42</v>
      </c>
      <c r="I8" s="117">
        <v>52181.64</v>
      </c>
      <c r="J8" s="117">
        <v>3727.26</v>
      </c>
    </row>
    <row r="9" spans="1:10">
      <c r="A9" s="116" t="s">
        <v>22</v>
      </c>
      <c r="B9" s="116" t="s">
        <v>23</v>
      </c>
      <c r="C9" s="117">
        <v>294201.59999999998</v>
      </c>
      <c r="D9" s="117">
        <v>21014.400000000001</v>
      </c>
      <c r="E9" s="117">
        <v>294201.59999999998</v>
      </c>
      <c r="F9" s="117">
        <v>21014.400000000001</v>
      </c>
      <c r="G9" s="117">
        <v>294201.59999999998</v>
      </c>
      <c r="H9" s="117">
        <v>21014.400000000001</v>
      </c>
      <c r="I9" s="117">
        <v>882604.8</v>
      </c>
      <c r="J9" s="117">
        <v>63043.199999999997</v>
      </c>
    </row>
    <row r="10" spans="1:10">
      <c r="A10" s="116" t="s">
        <v>25</v>
      </c>
      <c r="B10" s="116"/>
      <c r="C10" s="117">
        <v>76083.7</v>
      </c>
      <c r="D10" s="117">
        <v>5434.55</v>
      </c>
      <c r="E10" s="117">
        <v>62646.5</v>
      </c>
      <c r="F10" s="117">
        <v>4474.75</v>
      </c>
      <c r="G10" s="117">
        <v>77222.460000000006</v>
      </c>
      <c r="H10" s="117">
        <v>5515.89</v>
      </c>
      <c r="I10" s="117">
        <v>215952.66</v>
      </c>
      <c r="J10" s="117">
        <v>15425.19</v>
      </c>
    </row>
    <row r="11" spans="1:10">
      <c r="A11" s="116" t="s">
        <v>27</v>
      </c>
      <c r="B11" s="116" t="s">
        <v>28</v>
      </c>
      <c r="C11" s="117">
        <v>97840.960000000006</v>
      </c>
      <c r="D11" s="117">
        <v>6988.64</v>
      </c>
      <c r="E11" s="117">
        <v>97840.960000000006</v>
      </c>
      <c r="F11" s="117">
        <v>6988.64</v>
      </c>
      <c r="G11" s="117">
        <v>97840.960000000006</v>
      </c>
      <c r="H11" s="117">
        <v>6988.64</v>
      </c>
      <c r="I11" s="117">
        <v>293522.88</v>
      </c>
      <c r="J11" s="117">
        <v>20965.919999999998</v>
      </c>
    </row>
    <row r="12" spans="1:10">
      <c r="A12" s="116" t="s">
        <v>30</v>
      </c>
      <c r="B12" s="116"/>
      <c r="C12" s="117">
        <v>62646.5</v>
      </c>
      <c r="D12" s="117">
        <v>4474.75</v>
      </c>
      <c r="E12" s="117">
        <v>76083.7</v>
      </c>
      <c r="F12" s="117">
        <v>5434.55</v>
      </c>
      <c r="G12" s="117">
        <v>74033.960000000006</v>
      </c>
      <c r="H12" s="117">
        <v>5288.14</v>
      </c>
      <c r="I12" s="117">
        <v>212764.16</v>
      </c>
      <c r="J12" s="117">
        <v>15197.44</v>
      </c>
    </row>
    <row r="13" spans="1:10">
      <c r="A13" s="116" t="s">
        <v>32</v>
      </c>
      <c r="B13" s="116" t="s">
        <v>33</v>
      </c>
      <c r="C13" s="117">
        <v>151224.78</v>
      </c>
      <c r="D13" s="117">
        <v>10801.77</v>
      </c>
      <c r="E13" s="117">
        <v>151224.78</v>
      </c>
      <c r="F13" s="117">
        <v>10801.77</v>
      </c>
      <c r="G13" s="117">
        <v>151224.78</v>
      </c>
      <c r="H13" s="117">
        <v>10801.77</v>
      </c>
      <c r="I13" s="117">
        <v>453674.34</v>
      </c>
      <c r="J13" s="117">
        <v>32405.31</v>
      </c>
    </row>
    <row r="14" spans="1:10">
      <c r="A14" s="116" t="s">
        <v>35</v>
      </c>
      <c r="B14" s="116" t="s">
        <v>36</v>
      </c>
      <c r="C14" s="117">
        <v>56989.94</v>
      </c>
      <c r="D14" s="117">
        <v>4070.71</v>
      </c>
      <c r="E14" s="117">
        <v>56989.94</v>
      </c>
      <c r="F14" s="117">
        <v>4070.71</v>
      </c>
      <c r="G14" s="117">
        <v>56989.94</v>
      </c>
      <c r="H14" s="117">
        <v>4070.71</v>
      </c>
      <c r="I14" s="117">
        <v>170969.82</v>
      </c>
      <c r="J14" s="117">
        <v>12212.13</v>
      </c>
    </row>
    <row r="15" spans="1:10">
      <c r="A15" s="116" t="s">
        <v>38</v>
      </c>
      <c r="B15" s="116" t="s">
        <v>39</v>
      </c>
      <c r="C15" s="117">
        <v>119406.56</v>
      </c>
      <c r="D15" s="117">
        <v>8529.0400000000009</v>
      </c>
      <c r="E15" s="117">
        <v>119406.56</v>
      </c>
      <c r="F15" s="117">
        <v>8529.0400000000009</v>
      </c>
      <c r="G15" s="117">
        <v>119406.56</v>
      </c>
      <c r="H15" s="117">
        <v>8529.0400000000009</v>
      </c>
      <c r="I15" s="117">
        <v>358219.68</v>
      </c>
      <c r="J15" s="117">
        <v>25587.119999999999</v>
      </c>
    </row>
    <row r="16" spans="1:10">
      <c r="A16" s="116" t="s">
        <v>41</v>
      </c>
      <c r="B16" s="116" t="s">
        <v>42</v>
      </c>
      <c r="C16" s="117">
        <v>72121.279999999999</v>
      </c>
      <c r="D16" s="117">
        <v>5151.5200000000004</v>
      </c>
      <c r="E16" s="117">
        <v>72121.279999999999</v>
      </c>
      <c r="F16" s="117">
        <v>5151.5200000000004</v>
      </c>
      <c r="G16" s="117">
        <v>72121.279999999999</v>
      </c>
      <c r="H16" s="117">
        <v>5151.5200000000004</v>
      </c>
      <c r="I16" s="117">
        <v>216363.84</v>
      </c>
      <c r="J16" s="117">
        <v>15454.56</v>
      </c>
    </row>
    <row r="17" spans="1:10">
      <c r="A17" s="116" t="s">
        <v>44</v>
      </c>
      <c r="B17" s="116" t="s">
        <v>45</v>
      </c>
      <c r="C17" s="117">
        <v>70790.16</v>
      </c>
      <c r="D17" s="117">
        <v>5056.4399999999996</v>
      </c>
      <c r="E17" s="117">
        <v>70790.16</v>
      </c>
      <c r="F17" s="117">
        <v>5056.4399999999996</v>
      </c>
      <c r="G17" s="117">
        <v>70790.16</v>
      </c>
      <c r="H17" s="117">
        <v>5056.4399999999996</v>
      </c>
      <c r="I17" s="117">
        <v>212370.48</v>
      </c>
      <c r="J17" s="117">
        <v>15169.32</v>
      </c>
    </row>
    <row r="18" spans="1:10">
      <c r="A18" s="116" t="s">
        <v>47</v>
      </c>
      <c r="B18" s="116" t="s">
        <v>48</v>
      </c>
      <c r="C18" s="117">
        <v>18808.02</v>
      </c>
      <c r="D18" s="117">
        <v>1343.43</v>
      </c>
      <c r="E18" s="117">
        <v>18808.02</v>
      </c>
      <c r="F18" s="117">
        <v>1343.43</v>
      </c>
      <c r="G18" s="117">
        <v>18808.02</v>
      </c>
      <c r="H18" s="117">
        <v>1343.43</v>
      </c>
      <c r="I18" s="117">
        <v>56424.06</v>
      </c>
      <c r="J18" s="117">
        <v>4030.29</v>
      </c>
    </row>
    <row r="19" spans="1:10">
      <c r="A19" s="116" t="s">
        <v>50</v>
      </c>
      <c r="B19" s="116" t="s">
        <v>51</v>
      </c>
      <c r="C19" s="117">
        <v>58404.08</v>
      </c>
      <c r="D19" s="117">
        <v>4171.72</v>
      </c>
      <c r="E19" s="117">
        <v>58404.08</v>
      </c>
      <c r="F19" s="117">
        <v>4171.72</v>
      </c>
      <c r="G19" s="117">
        <v>31148.880000000001</v>
      </c>
      <c r="H19" s="117">
        <v>2224.92</v>
      </c>
      <c r="I19" s="117">
        <v>147957.04</v>
      </c>
      <c r="J19" s="117">
        <v>10568.36</v>
      </c>
    </row>
    <row r="20" spans="1:10">
      <c r="A20" s="116" t="s">
        <v>53</v>
      </c>
      <c r="B20" s="116"/>
      <c r="C20" s="117">
        <v>58404.08</v>
      </c>
      <c r="D20" s="117">
        <v>4171.72</v>
      </c>
      <c r="E20" s="117">
        <v>58404.08</v>
      </c>
      <c r="F20" s="117">
        <v>4171.72</v>
      </c>
      <c r="G20" s="117">
        <v>58404.08</v>
      </c>
      <c r="H20" s="117">
        <v>4171.72</v>
      </c>
      <c r="I20" s="117">
        <v>175212.24</v>
      </c>
      <c r="J20" s="117">
        <v>12515.16</v>
      </c>
    </row>
    <row r="21" spans="1:10">
      <c r="A21" s="116" t="s">
        <v>55</v>
      </c>
      <c r="B21" s="116" t="s">
        <v>56</v>
      </c>
      <c r="C21" s="117">
        <v>159356.12</v>
      </c>
      <c r="D21" s="117">
        <v>11382.58</v>
      </c>
      <c r="E21" s="117">
        <v>159356.12</v>
      </c>
      <c r="F21" s="117">
        <v>11382.58</v>
      </c>
      <c r="G21" s="117">
        <v>159356.12</v>
      </c>
      <c r="H21" s="117">
        <v>11382.58</v>
      </c>
      <c r="I21" s="117">
        <v>478068.36</v>
      </c>
      <c r="J21" s="117">
        <v>34147.74</v>
      </c>
    </row>
    <row r="22" spans="1:10">
      <c r="A22" s="116" t="s">
        <v>58</v>
      </c>
      <c r="B22" s="116" t="s">
        <v>59</v>
      </c>
      <c r="C22" s="117">
        <v>44324.42</v>
      </c>
      <c r="D22" s="117">
        <v>3166.03</v>
      </c>
      <c r="E22" s="117"/>
      <c r="F22" s="117"/>
      <c r="G22" s="117"/>
      <c r="H22" s="117"/>
      <c r="I22" s="117">
        <v>44324.42</v>
      </c>
      <c r="J22" s="117">
        <v>3166.03</v>
      </c>
    </row>
    <row r="23" spans="1:10">
      <c r="A23" s="116" t="s">
        <v>61</v>
      </c>
      <c r="B23" s="116" t="s">
        <v>62</v>
      </c>
      <c r="C23" s="117">
        <v>113219.68</v>
      </c>
      <c r="D23" s="117">
        <v>8087.12</v>
      </c>
      <c r="E23" s="117">
        <v>113219.68</v>
      </c>
      <c r="F23" s="117">
        <v>8087.12</v>
      </c>
      <c r="G23" s="117">
        <v>113219.68</v>
      </c>
      <c r="H23" s="117">
        <v>8087.12</v>
      </c>
      <c r="I23" s="117">
        <v>339659.04</v>
      </c>
      <c r="J23" s="117">
        <v>24261.360000000001</v>
      </c>
    </row>
    <row r="24" spans="1:10">
      <c r="A24" s="116" t="s">
        <v>64</v>
      </c>
      <c r="B24" s="116" t="s">
        <v>65</v>
      </c>
      <c r="C24" s="117">
        <v>158648.98000000001</v>
      </c>
      <c r="D24" s="117">
        <v>11332.07</v>
      </c>
      <c r="E24" s="117">
        <v>158648.98000000001</v>
      </c>
      <c r="F24" s="117">
        <v>11332.07</v>
      </c>
      <c r="G24" s="117">
        <v>158648.98000000001</v>
      </c>
      <c r="H24" s="117">
        <v>11332.07</v>
      </c>
      <c r="I24" s="117">
        <v>475946.94</v>
      </c>
      <c r="J24" s="117">
        <v>33996.21</v>
      </c>
    </row>
    <row r="25" spans="1:10">
      <c r="A25" s="116" t="s">
        <v>67</v>
      </c>
      <c r="B25" s="116" t="s">
        <v>68</v>
      </c>
      <c r="C25" s="117">
        <v>158295.48000000001</v>
      </c>
      <c r="D25" s="117">
        <v>11306.82</v>
      </c>
      <c r="E25" s="117">
        <v>158295.48000000001</v>
      </c>
      <c r="F25" s="117">
        <v>11306.82</v>
      </c>
      <c r="G25" s="117">
        <v>158295.48000000001</v>
      </c>
      <c r="H25" s="117">
        <v>11306.82</v>
      </c>
      <c r="I25" s="117">
        <v>474886.44</v>
      </c>
      <c r="J25" s="117">
        <v>33920.46</v>
      </c>
    </row>
    <row r="26" spans="1:10">
      <c r="A26" s="116" t="s">
        <v>70</v>
      </c>
      <c r="B26" s="116" t="s">
        <v>71</v>
      </c>
      <c r="C26" s="117">
        <v>56989.94</v>
      </c>
      <c r="D26" s="117">
        <v>4070.71</v>
      </c>
      <c r="E26" s="117">
        <v>56989.94</v>
      </c>
      <c r="F26" s="117">
        <v>4070.71</v>
      </c>
      <c r="G26" s="117">
        <v>56989.94</v>
      </c>
      <c r="H26" s="117">
        <v>4070.71</v>
      </c>
      <c r="I26" s="117">
        <v>170969.82</v>
      </c>
      <c r="J26" s="117">
        <v>12212.13</v>
      </c>
    </row>
    <row r="27" spans="1:10">
      <c r="A27" s="116" t="s">
        <v>73</v>
      </c>
      <c r="B27" s="116" t="s">
        <v>74</v>
      </c>
      <c r="C27" s="117">
        <v>56989.94</v>
      </c>
      <c r="D27" s="117">
        <v>4070.71</v>
      </c>
      <c r="E27" s="117">
        <v>56989.94</v>
      </c>
      <c r="F27" s="117">
        <v>4070.71</v>
      </c>
      <c r="G27" s="117">
        <v>56989.94</v>
      </c>
      <c r="H27" s="117">
        <v>4070.71</v>
      </c>
      <c r="I27" s="117">
        <v>170969.82</v>
      </c>
      <c r="J27" s="117">
        <v>12212.13</v>
      </c>
    </row>
    <row r="28" spans="1:10">
      <c r="A28" s="116" t="s">
        <v>76</v>
      </c>
      <c r="B28" s="116" t="s">
        <v>77</v>
      </c>
      <c r="C28" s="117">
        <v>56989.94</v>
      </c>
      <c r="D28" s="117">
        <v>4070.71</v>
      </c>
      <c r="E28" s="117">
        <v>56989.94</v>
      </c>
      <c r="F28" s="117">
        <v>4070.71</v>
      </c>
      <c r="G28" s="117">
        <v>56989.94</v>
      </c>
      <c r="H28" s="117">
        <v>4070.71</v>
      </c>
      <c r="I28" s="117">
        <v>170969.82</v>
      </c>
      <c r="J28" s="117">
        <v>12212.13</v>
      </c>
    </row>
    <row r="29" spans="1:10">
      <c r="A29" s="116" t="s">
        <v>79</v>
      </c>
      <c r="B29" s="116"/>
      <c r="C29" s="117">
        <v>107032.8</v>
      </c>
      <c r="D29" s="117">
        <v>7645.2</v>
      </c>
      <c r="E29" s="117">
        <v>107032.8</v>
      </c>
      <c r="F29" s="117">
        <v>7645.2</v>
      </c>
      <c r="G29" s="117">
        <v>107032.8</v>
      </c>
      <c r="H29" s="117">
        <v>7645.2</v>
      </c>
      <c r="I29" s="117">
        <v>321098.40000000002</v>
      </c>
      <c r="J29" s="117">
        <v>22935.599999999999</v>
      </c>
    </row>
    <row r="30" spans="1:10">
      <c r="A30" s="116" t="s">
        <v>81</v>
      </c>
      <c r="B30" s="116" t="s">
        <v>82</v>
      </c>
      <c r="C30" s="117">
        <v>48249.599999999999</v>
      </c>
      <c r="D30" s="117">
        <v>3446.4</v>
      </c>
      <c r="E30" s="117">
        <v>60312</v>
      </c>
      <c r="F30" s="117">
        <v>4308</v>
      </c>
      <c r="G30" s="117">
        <v>38599.68</v>
      </c>
      <c r="H30" s="117">
        <v>2757.12</v>
      </c>
      <c r="I30" s="117">
        <v>147161.28</v>
      </c>
      <c r="J30" s="117">
        <v>10511.52</v>
      </c>
    </row>
    <row r="31" spans="1:10">
      <c r="A31" s="116" t="s">
        <v>84</v>
      </c>
      <c r="B31" s="116" t="s">
        <v>85</v>
      </c>
      <c r="C31" s="117">
        <v>56989.94</v>
      </c>
      <c r="D31" s="117">
        <v>4070.71</v>
      </c>
      <c r="E31" s="117">
        <v>56989.94</v>
      </c>
      <c r="F31" s="117">
        <v>4070.71</v>
      </c>
      <c r="G31" s="117">
        <v>56989.94</v>
      </c>
      <c r="H31" s="117">
        <v>4070.71</v>
      </c>
      <c r="I31" s="117">
        <v>170969.82</v>
      </c>
      <c r="J31" s="117">
        <v>12212.13</v>
      </c>
    </row>
    <row r="32" spans="1:10">
      <c r="A32" s="116" t="s">
        <v>87</v>
      </c>
      <c r="B32" s="116" t="s">
        <v>88</v>
      </c>
      <c r="C32" s="117">
        <v>56989.94</v>
      </c>
      <c r="D32" s="117">
        <v>4070.71</v>
      </c>
      <c r="E32" s="117">
        <v>56989.94</v>
      </c>
      <c r="F32" s="117">
        <v>4070.71</v>
      </c>
      <c r="G32" s="117">
        <v>56989.94</v>
      </c>
      <c r="H32" s="117">
        <v>4070.71</v>
      </c>
      <c r="I32" s="117">
        <v>170969.82</v>
      </c>
      <c r="J32" s="117">
        <v>12212.13</v>
      </c>
    </row>
    <row r="33" spans="1:10">
      <c r="A33" s="116" t="s">
        <v>90</v>
      </c>
      <c r="B33" s="116" t="s">
        <v>91</v>
      </c>
      <c r="C33" s="117">
        <v>294201.59999999998</v>
      </c>
      <c r="D33" s="117">
        <v>21014.400000000001</v>
      </c>
      <c r="E33" s="117">
        <v>294201.59999999998</v>
      </c>
      <c r="F33" s="117">
        <v>21014.400000000001</v>
      </c>
      <c r="G33" s="117">
        <v>294201.59999999998</v>
      </c>
      <c r="H33" s="117">
        <v>21014.400000000001</v>
      </c>
      <c r="I33" s="117">
        <v>882604.8</v>
      </c>
      <c r="J33" s="117">
        <v>63043.199999999997</v>
      </c>
    </row>
    <row r="34" spans="1:10">
      <c r="A34" s="116" t="s">
        <v>93</v>
      </c>
      <c r="B34" s="116" t="s">
        <v>94</v>
      </c>
      <c r="C34" s="117">
        <v>32298.84</v>
      </c>
      <c r="D34" s="117">
        <v>2307.06</v>
      </c>
      <c r="E34" s="117">
        <v>34093.22</v>
      </c>
      <c r="F34" s="117">
        <v>2435.23</v>
      </c>
      <c r="G34" s="117">
        <v>32298.84</v>
      </c>
      <c r="H34" s="117">
        <v>2307.06</v>
      </c>
      <c r="I34" s="117">
        <v>98690.9</v>
      </c>
      <c r="J34" s="117">
        <v>7049.35</v>
      </c>
    </row>
    <row r="35" spans="1:10">
      <c r="A35" s="116" t="s">
        <v>96</v>
      </c>
      <c r="B35" s="116" t="s">
        <v>97</v>
      </c>
      <c r="C35" s="117">
        <v>49919.24</v>
      </c>
      <c r="D35" s="117">
        <v>3565.66</v>
      </c>
      <c r="E35" s="117">
        <v>49919.24</v>
      </c>
      <c r="F35" s="117">
        <v>3565.66</v>
      </c>
      <c r="G35" s="117">
        <v>49919.24</v>
      </c>
      <c r="H35" s="117">
        <v>3565.66</v>
      </c>
      <c r="I35" s="117">
        <v>149757.72</v>
      </c>
      <c r="J35" s="117">
        <v>10696.98</v>
      </c>
    </row>
    <row r="36" spans="1:10">
      <c r="A36" s="116" t="s">
        <v>99</v>
      </c>
      <c r="B36" s="116" t="s">
        <v>100</v>
      </c>
      <c r="C36" s="117">
        <v>49919.24</v>
      </c>
      <c r="D36" s="117">
        <v>3565.66</v>
      </c>
      <c r="E36" s="117">
        <v>49919.24</v>
      </c>
      <c r="F36" s="117">
        <v>3565.66</v>
      </c>
      <c r="G36" s="117">
        <v>49919.24</v>
      </c>
      <c r="H36" s="117">
        <v>3565.66</v>
      </c>
      <c r="I36" s="117">
        <v>149757.72</v>
      </c>
      <c r="J36" s="117">
        <v>10696.98</v>
      </c>
    </row>
    <row r="37" spans="1:10">
      <c r="A37" s="116" t="s">
        <v>102</v>
      </c>
      <c r="B37" s="116" t="s">
        <v>103</v>
      </c>
      <c r="C37" s="117">
        <v>49919.24</v>
      </c>
      <c r="D37" s="117">
        <v>3565.66</v>
      </c>
      <c r="E37" s="117">
        <v>49919.24</v>
      </c>
      <c r="F37" s="117">
        <v>3565.66</v>
      </c>
      <c r="G37" s="117">
        <v>49919.24</v>
      </c>
      <c r="H37" s="117">
        <v>3565.66</v>
      </c>
      <c r="I37" s="117">
        <v>149757.72</v>
      </c>
      <c r="J37" s="117">
        <v>10696.98</v>
      </c>
    </row>
    <row r="38" spans="1:10">
      <c r="A38" s="116" t="s">
        <v>105</v>
      </c>
      <c r="B38" s="116" t="s">
        <v>106</v>
      </c>
      <c r="C38" s="117"/>
      <c r="D38" s="117"/>
      <c r="E38" s="117">
        <v>49919.24</v>
      </c>
      <c r="F38" s="117">
        <v>3565.66</v>
      </c>
      <c r="G38" s="117">
        <v>49919.24</v>
      </c>
      <c r="H38" s="117">
        <v>3565.66</v>
      </c>
      <c r="I38" s="117">
        <v>99838.48</v>
      </c>
      <c r="J38" s="117">
        <v>7131.32</v>
      </c>
    </row>
    <row r="39" spans="1:10">
      <c r="A39" s="116" t="s">
        <v>108</v>
      </c>
      <c r="B39" s="116" t="s">
        <v>109</v>
      </c>
      <c r="C39" s="117"/>
      <c r="D39" s="117"/>
      <c r="E39" s="117">
        <v>49919.24</v>
      </c>
      <c r="F39" s="117">
        <v>3565.66</v>
      </c>
      <c r="G39" s="117">
        <v>49919.24</v>
      </c>
      <c r="H39" s="117">
        <v>3565.66</v>
      </c>
      <c r="I39" s="117">
        <v>99838.48</v>
      </c>
      <c r="J39" s="117">
        <v>7131.32</v>
      </c>
    </row>
    <row r="40" spans="1:10">
      <c r="A40" s="116" t="s">
        <v>111</v>
      </c>
      <c r="B40" s="116" t="s">
        <v>112</v>
      </c>
      <c r="C40" s="117"/>
      <c r="D40" s="117"/>
      <c r="E40" s="117">
        <v>42848.54</v>
      </c>
      <c r="F40" s="117">
        <v>3060.61</v>
      </c>
      <c r="G40" s="117">
        <v>42848.54</v>
      </c>
      <c r="H40" s="117">
        <v>3060.61</v>
      </c>
      <c r="I40" s="117">
        <v>85697.08</v>
      </c>
      <c r="J40" s="117">
        <v>6121.22</v>
      </c>
    </row>
    <row r="41" spans="1:10">
      <c r="A41" s="116" t="s">
        <v>44</v>
      </c>
      <c r="B41" s="116" t="s">
        <v>114</v>
      </c>
      <c r="C41" s="117"/>
      <c r="D41" s="117"/>
      <c r="E41" s="117">
        <v>42848.54</v>
      </c>
      <c r="F41" s="117">
        <v>3060.61</v>
      </c>
      <c r="G41" s="117">
        <v>42848.54</v>
      </c>
      <c r="H41" s="117">
        <v>3060.61</v>
      </c>
      <c r="I41" s="117">
        <v>85697.08</v>
      </c>
      <c r="J41" s="117">
        <v>6121.22</v>
      </c>
    </row>
    <row r="42" spans="1:10">
      <c r="A42" s="115"/>
      <c r="B42" s="115"/>
      <c r="C42" s="118">
        <v>3388971.32</v>
      </c>
      <c r="D42" s="118">
        <v>242069.38</v>
      </c>
      <c r="E42" s="118">
        <v>3540850.74</v>
      </c>
      <c r="F42" s="118">
        <v>252917.91</v>
      </c>
      <c r="G42" s="118">
        <v>3490088.84</v>
      </c>
      <c r="H42" s="118">
        <v>249292.06</v>
      </c>
      <c r="I42" s="118">
        <v>10419910.9</v>
      </c>
      <c r="J42" s="118">
        <v>744279.35</v>
      </c>
    </row>
  </sheetData>
  <mergeCells count="7">
    <mergeCell ref="J1:J2"/>
    <mergeCell ref="C1:D1"/>
    <mergeCell ref="E1:F1"/>
    <mergeCell ref="G1:H1"/>
    <mergeCell ref="A1:A2"/>
    <mergeCell ref="B1:B2"/>
    <mergeCell ref="I1:I2"/>
  </mergeCells>
  <pageMargins left="0.25" right="0.25" top="0.75" bottom="0.75" header="0.3" footer="0.3"/>
  <pageSetup paperSize="9" scale="54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11A8-51F2-41C1-8632-A464296DE9D2}">
  <sheetPr codeName="Feuil41">
    <tabColor rgb="FF00B0F0"/>
  </sheetPr>
  <dimension ref="A2:J42"/>
  <sheetViews>
    <sheetView topLeftCell="A23" workbookViewId="0">
      <selection activeCell="C28" sqref="C28"/>
    </sheetView>
  </sheetViews>
  <sheetFormatPr baseColWidth="10" defaultColWidth="11" defaultRowHeight="12.75"/>
  <cols>
    <col min="1" max="1" width="5" style="2" customWidth="1"/>
    <col min="2" max="2" width="25.25" style="2" customWidth="1"/>
    <col min="3" max="3" width="14.75" style="2" customWidth="1"/>
    <col min="4" max="4" width="13.5" style="2" customWidth="1"/>
    <col min="5" max="5" width="13.125" style="2" customWidth="1"/>
    <col min="6" max="6" width="14.5" style="2" customWidth="1"/>
    <col min="7" max="7" width="11" style="2"/>
    <col min="8" max="8" width="11.25" style="2" bestFit="1" customWidth="1"/>
    <col min="9" max="9" width="11.125" style="2" bestFit="1" customWidth="1"/>
    <col min="10" max="10" width="11.25" style="2" bestFit="1" customWidth="1"/>
    <col min="11" max="256" width="11" style="2"/>
    <col min="257" max="257" width="5" style="2" customWidth="1"/>
    <col min="258" max="258" width="25.25" style="2" customWidth="1"/>
    <col min="259" max="259" width="14.75" style="2" customWidth="1"/>
    <col min="260" max="260" width="13.5" style="2" customWidth="1"/>
    <col min="261" max="261" width="13.125" style="2" customWidth="1"/>
    <col min="262" max="262" width="14.5" style="2" customWidth="1"/>
    <col min="263" max="512" width="11" style="2"/>
    <col min="513" max="513" width="5" style="2" customWidth="1"/>
    <col min="514" max="514" width="25.25" style="2" customWidth="1"/>
    <col min="515" max="515" width="14.75" style="2" customWidth="1"/>
    <col min="516" max="516" width="13.5" style="2" customWidth="1"/>
    <col min="517" max="517" width="13.125" style="2" customWidth="1"/>
    <col min="518" max="518" width="14.5" style="2" customWidth="1"/>
    <col min="519" max="768" width="11" style="2"/>
    <col min="769" max="769" width="5" style="2" customWidth="1"/>
    <col min="770" max="770" width="25.25" style="2" customWidth="1"/>
    <col min="771" max="771" width="14.75" style="2" customWidth="1"/>
    <col min="772" max="772" width="13.5" style="2" customWidth="1"/>
    <col min="773" max="773" width="13.125" style="2" customWidth="1"/>
    <col min="774" max="774" width="14.5" style="2" customWidth="1"/>
    <col min="775" max="1024" width="11" style="2"/>
    <col min="1025" max="1025" width="5" style="2" customWidth="1"/>
    <col min="1026" max="1026" width="25.25" style="2" customWidth="1"/>
    <col min="1027" max="1027" width="14.75" style="2" customWidth="1"/>
    <col min="1028" max="1028" width="13.5" style="2" customWidth="1"/>
    <col min="1029" max="1029" width="13.125" style="2" customWidth="1"/>
    <col min="1030" max="1030" width="14.5" style="2" customWidth="1"/>
    <col min="1031" max="1280" width="11" style="2"/>
    <col min="1281" max="1281" width="5" style="2" customWidth="1"/>
    <col min="1282" max="1282" width="25.25" style="2" customWidth="1"/>
    <col min="1283" max="1283" width="14.75" style="2" customWidth="1"/>
    <col min="1284" max="1284" width="13.5" style="2" customWidth="1"/>
    <col min="1285" max="1285" width="13.125" style="2" customWidth="1"/>
    <col min="1286" max="1286" width="14.5" style="2" customWidth="1"/>
    <col min="1287" max="1536" width="11" style="2"/>
    <col min="1537" max="1537" width="5" style="2" customWidth="1"/>
    <col min="1538" max="1538" width="25.25" style="2" customWidth="1"/>
    <col min="1539" max="1539" width="14.75" style="2" customWidth="1"/>
    <col min="1540" max="1540" width="13.5" style="2" customWidth="1"/>
    <col min="1541" max="1541" width="13.125" style="2" customWidth="1"/>
    <col min="1542" max="1542" width="14.5" style="2" customWidth="1"/>
    <col min="1543" max="1792" width="11" style="2"/>
    <col min="1793" max="1793" width="5" style="2" customWidth="1"/>
    <col min="1794" max="1794" width="25.25" style="2" customWidth="1"/>
    <col min="1795" max="1795" width="14.75" style="2" customWidth="1"/>
    <col min="1796" max="1796" width="13.5" style="2" customWidth="1"/>
    <col min="1797" max="1797" width="13.125" style="2" customWidth="1"/>
    <col min="1798" max="1798" width="14.5" style="2" customWidth="1"/>
    <col min="1799" max="2048" width="11" style="2"/>
    <col min="2049" max="2049" width="5" style="2" customWidth="1"/>
    <col min="2050" max="2050" width="25.25" style="2" customWidth="1"/>
    <col min="2051" max="2051" width="14.75" style="2" customWidth="1"/>
    <col min="2052" max="2052" width="13.5" style="2" customWidth="1"/>
    <col min="2053" max="2053" width="13.125" style="2" customWidth="1"/>
    <col min="2054" max="2054" width="14.5" style="2" customWidth="1"/>
    <col min="2055" max="2304" width="11" style="2"/>
    <col min="2305" max="2305" width="5" style="2" customWidth="1"/>
    <col min="2306" max="2306" width="25.25" style="2" customWidth="1"/>
    <col min="2307" max="2307" width="14.75" style="2" customWidth="1"/>
    <col min="2308" max="2308" width="13.5" style="2" customWidth="1"/>
    <col min="2309" max="2309" width="13.125" style="2" customWidth="1"/>
    <col min="2310" max="2310" width="14.5" style="2" customWidth="1"/>
    <col min="2311" max="2560" width="11" style="2"/>
    <col min="2561" max="2561" width="5" style="2" customWidth="1"/>
    <col min="2562" max="2562" width="25.25" style="2" customWidth="1"/>
    <col min="2563" max="2563" width="14.75" style="2" customWidth="1"/>
    <col min="2564" max="2564" width="13.5" style="2" customWidth="1"/>
    <col min="2565" max="2565" width="13.125" style="2" customWidth="1"/>
    <col min="2566" max="2566" width="14.5" style="2" customWidth="1"/>
    <col min="2567" max="2816" width="11" style="2"/>
    <col min="2817" max="2817" width="5" style="2" customWidth="1"/>
    <col min="2818" max="2818" width="25.25" style="2" customWidth="1"/>
    <col min="2819" max="2819" width="14.75" style="2" customWidth="1"/>
    <col min="2820" max="2820" width="13.5" style="2" customWidth="1"/>
    <col min="2821" max="2821" width="13.125" style="2" customWidth="1"/>
    <col min="2822" max="2822" width="14.5" style="2" customWidth="1"/>
    <col min="2823" max="3072" width="11" style="2"/>
    <col min="3073" max="3073" width="5" style="2" customWidth="1"/>
    <col min="3074" max="3074" width="25.25" style="2" customWidth="1"/>
    <col min="3075" max="3075" width="14.75" style="2" customWidth="1"/>
    <col min="3076" max="3076" width="13.5" style="2" customWidth="1"/>
    <col min="3077" max="3077" width="13.125" style="2" customWidth="1"/>
    <col min="3078" max="3078" width="14.5" style="2" customWidth="1"/>
    <col min="3079" max="3328" width="11" style="2"/>
    <col min="3329" max="3329" width="5" style="2" customWidth="1"/>
    <col min="3330" max="3330" width="25.25" style="2" customWidth="1"/>
    <col min="3331" max="3331" width="14.75" style="2" customWidth="1"/>
    <col min="3332" max="3332" width="13.5" style="2" customWidth="1"/>
    <col min="3333" max="3333" width="13.125" style="2" customWidth="1"/>
    <col min="3334" max="3334" width="14.5" style="2" customWidth="1"/>
    <col min="3335" max="3584" width="11" style="2"/>
    <col min="3585" max="3585" width="5" style="2" customWidth="1"/>
    <col min="3586" max="3586" width="25.25" style="2" customWidth="1"/>
    <col min="3587" max="3587" width="14.75" style="2" customWidth="1"/>
    <col min="3588" max="3588" width="13.5" style="2" customWidth="1"/>
    <col min="3589" max="3589" width="13.125" style="2" customWidth="1"/>
    <col min="3590" max="3590" width="14.5" style="2" customWidth="1"/>
    <col min="3591" max="3840" width="11" style="2"/>
    <col min="3841" max="3841" width="5" style="2" customWidth="1"/>
    <col min="3842" max="3842" width="25.25" style="2" customWidth="1"/>
    <col min="3843" max="3843" width="14.75" style="2" customWidth="1"/>
    <col min="3844" max="3844" width="13.5" style="2" customWidth="1"/>
    <col min="3845" max="3845" width="13.125" style="2" customWidth="1"/>
    <col min="3846" max="3846" width="14.5" style="2" customWidth="1"/>
    <col min="3847" max="4096" width="11" style="2"/>
    <col min="4097" max="4097" width="5" style="2" customWidth="1"/>
    <col min="4098" max="4098" width="25.25" style="2" customWidth="1"/>
    <col min="4099" max="4099" width="14.75" style="2" customWidth="1"/>
    <col min="4100" max="4100" width="13.5" style="2" customWidth="1"/>
    <col min="4101" max="4101" width="13.125" style="2" customWidth="1"/>
    <col min="4102" max="4102" width="14.5" style="2" customWidth="1"/>
    <col min="4103" max="4352" width="11" style="2"/>
    <col min="4353" max="4353" width="5" style="2" customWidth="1"/>
    <col min="4354" max="4354" width="25.25" style="2" customWidth="1"/>
    <col min="4355" max="4355" width="14.75" style="2" customWidth="1"/>
    <col min="4356" max="4356" width="13.5" style="2" customWidth="1"/>
    <col min="4357" max="4357" width="13.125" style="2" customWidth="1"/>
    <col min="4358" max="4358" width="14.5" style="2" customWidth="1"/>
    <col min="4359" max="4608" width="11" style="2"/>
    <col min="4609" max="4609" width="5" style="2" customWidth="1"/>
    <col min="4610" max="4610" width="25.25" style="2" customWidth="1"/>
    <col min="4611" max="4611" width="14.75" style="2" customWidth="1"/>
    <col min="4612" max="4612" width="13.5" style="2" customWidth="1"/>
    <col min="4613" max="4613" width="13.125" style="2" customWidth="1"/>
    <col min="4614" max="4614" width="14.5" style="2" customWidth="1"/>
    <col min="4615" max="4864" width="11" style="2"/>
    <col min="4865" max="4865" width="5" style="2" customWidth="1"/>
    <col min="4866" max="4866" width="25.25" style="2" customWidth="1"/>
    <col min="4867" max="4867" width="14.75" style="2" customWidth="1"/>
    <col min="4868" max="4868" width="13.5" style="2" customWidth="1"/>
    <col min="4869" max="4869" width="13.125" style="2" customWidth="1"/>
    <col min="4870" max="4870" width="14.5" style="2" customWidth="1"/>
    <col min="4871" max="5120" width="11" style="2"/>
    <col min="5121" max="5121" width="5" style="2" customWidth="1"/>
    <col min="5122" max="5122" width="25.25" style="2" customWidth="1"/>
    <col min="5123" max="5123" width="14.75" style="2" customWidth="1"/>
    <col min="5124" max="5124" width="13.5" style="2" customWidth="1"/>
    <col min="5125" max="5125" width="13.125" style="2" customWidth="1"/>
    <col min="5126" max="5126" width="14.5" style="2" customWidth="1"/>
    <col min="5127" max="5376" width="11" style="2"/>
    <col min="5377" max="5377" width="5" style="2" customWidth="1"/>
    <col min="5378" max="5378" width="25.25" style="2" customWidth="1"/>
    <col min="5379" max="5379" width="14.75" style="2" customWidth="1"/>
    <col min="5380" max="5380" width="13.5" style="2" customWidth="1"/>
    <col min="5381" max="5381" width="13.125" style="2" customWidth="1"/>
    <col min="5382" max="5382" width="14.5" style="2" customWidth="1"/>
    <col min="5383" max="5632" width="11" style="2"/>
    <col min="5633" max="5633" width="5" style="2" customWidth="1"/>
    <col min="5634" max="5634" width="25.25" style="2" customWidth="1"/>
    <col min="5635" max="5635" width="14.75" style="2" customWidth="1"/>
    <col min="5636" max="5636" width="13.5" style="2" customWidth="1"/>
    <col min="5637" max="5637" width="13.125" style="2" customWidth="1"/>
    <col min="5638" max="5638" width="14.5" style="2" customWidth="1"/>
    <col min="5639" max="5888" width="11" style="2"/>
    <col min="5889" max="5889" width="5" style="2" customWidth="1"/>
    <col min="5890" max="5890" width="25.25" style="2" customWidth="1"/>
    <col min="5891" max="5891" width="14.75" style="2" customWidth="1"/>
    <col min="5892" max="5892" width="13.5" style="2" customWidth="1"/>
    <col min="5893" max="5893" width="13.125" style="2" customWidth="1"/>
    <col min="5894" max="5894" width="14.5" style="2" customWidth="1"/>
    <col min="5895" max="6144" width="11" style="2"/>
    <col min="6145" max="6145" width="5" style="2" customWidth="1"/>
    <col min="6146" max="6146" width="25.25" style="2" customWidth="1"/>
    <col min="6147" max="6147" width="14.75" style="2" customWidth="1"/>
    <col min="6148" max="6148" width="13.5" style="2" customWidth="1"/>
    <col min="6149" max="6149" width="13.125" style="2" customWidth="1"/>
    <col min="6150" max="6150" width="14.5" style="2" customWidth="1"/>
    <col min="6151" max="6400" width="11" style="2"/>
    <col min="6401" max="6401" width="5" style="2" customWidth="1"/>
    <col min="6402" max="6402" width="25.25" style="2" customWidth="1"/>
    <col min="6403" max="6403" width="14.75" style="2" customWidth="1"/>
    <col min="6404" max="6404" width="13.5" style="2" customWidth="1"/>
    <col min="6405" max="6405" width="13.125" style="2" customWidth="1"/>
    <col min="6406" max="6406" width="14.5" style="2" customWidth="1"/>
    <col min="6407" max="6656" width="11" style="2"/>
    <col min="6657" max="6657" width="5" style="2" customWidth="1"/>
    <col min="6658" max="6658" width="25.25" style="2" customWidth="1"/>
    <col min="6659" max="6659" width="14.75" style="2" customWidth="1"/>
    <col min="6660" max="6660" width="13.5" style="2" customWidth="1"/>
    <col min="6661" max="6661" width="13.125" style="2" customWidth="1"/>
    <col min="6662" max="6662" width="14.5" style="2" customWidth="1"/>
    <col min="6663" max="6912" width="11" style="2"/>
    <col min="6913" max="6913" width="5" style="2" customWidth="1"/>
    <col min="6914" max="6914" width="25.25" style="2" customWidth="1"/>
    <col min="6915" max="6915" width="14.75" style="2" customWidth="1"/>
    <col min="6916" max="6916" width="13.5" style="2" customWidth="1"/>
    <col min="6917" max="6917" width="13.125" style="2" customWidth="1"/>
    <col min="6918" max="6918" width="14.5" style="2" customWidth="1"/>
    <col min="6919" max="7168" width="11" style="2"/>
    <col min="7169" max="7169" width="5" style="2" customWidth="1"/>
    <col min="7170" max="7170" width="25.25" style="2" customWidth="1"/>
    <col min="7171" max="7171" width="14.75" style="2" customWidth="1"/>
    <col min="7172" max="7172" width="13.5" style="2" customWidth="1"/>
    <col min="7173" max="7173" width="13.125" style="2" customWidth="1"/>
    <col min="7174" max="7174" width="14.5" style="2" customWidth="1"/>
    <col min="7175" max="7424" width="11" style="2"/>
    <col min="7425" max="7425" width="5" style="2" customWidth="1"/>
    <col min="7426" max="7426" width="25.25" style="2" customWidth="1"/>
    <col min="7427" max="7427" width="14.75" style="2" customWidth="1"/>
    <col min="7428" max="7428" width="13.5" style="2" customWidth="1"/>
    <col min="7429" max="7429" width="13.125" style="2" customWidth="1"/>
    <col min="7430" max="7430" width="14.5" style="2" customWidth="1"/>
    <col min="7431" max="7680" width="11" style="2"/>
    <col min="7681" max="7681" width="5" style="2" customWidth="1"/>
    <col min="7682" max="7682" width="25.25" style="2" customWidth="1"/>
    <col min="7683" max="7683" width="14.75" style="2" customWidth="1"/>
    <col min="7684" max="7684" width="13.5" style="2" customWidth="1"/>
    <col min="7685" max="7685" width="13.125" style="2" customWidth="1"/>
    <col min="7686" max="7686" width="14.5" style="2" customWidth="1"/>
    <col min="7687" max="7936" width="11" style="2"/>
    <col min="7937" max="7937" width="5" style="2" customWidth="1"/>
    <col min="7938" max="7938" width="25.25" style="2" customWidth="1"/>
    <col min="7939" max="7939" width="14.75" style="2" customWidth="1"/>
    <col min="7940" max="7940" width="13.5" style="2" customWidth="1"/>
    <col min="7941" max="7941" width="13.125" style="2" customWidth="1"/>
    <col min="7942" max="7942" width="14.5" style="2" customWidth="1"/>
    <col min="7943" max="8192" width="11" style="2"/>
    <col min="8193" max="8193" width="5" style="2" customWidth="1"/>
    <col min="8194" max="8194" width="25.25" style="2" customWidth="1"/>
    <col min="8195" max="8195" width="14.75" style="2" customWidth="1"/>
    <col min="8196" max="8196" width="13.5" style="2" customWidth="1"/>
    <col min="8197" max="8197" width="13.125" style="2" customWidth="1"/>
    <col min="8198" max="8198" width="14.5" style="2" customWidth="1"/>
    <col min="8199" max="8448" width="11" style="2"/>
    <col min="8449" max="8449" width="5" style="2" customWidth="1"/>
    <col min="8450" max="8450" width="25.25" style="2" customWidth="1"/>
    <col min="8451" max="8451" width="14.75" style="2" customWidth="1"/>
    <col min="8452" max="8452" width="13.5" style="2" customWidth="1"/>
    <col min="8453" max="8453" width="13.125" style="2" customWidth="1"/>
    <col min="8454" max="8454" width="14.5" style="2" customWidth="1"/>
    <col min="8455" max="8704" width="11" style="2"/>
    <col min="8705" max="8705" width="5" style="2" customWidth="1"/>
    <col min="8706" max="8706" width="25.25" style="2" customWidth="1"/>
    <col min="8707" max="8707" width="14.75" style="2" customWidth="1"/>
    <col min="8708" max="8708" width="13.5" style="2" customWidth="1"/>
    <col min="8709" max="8709" width="13.125" style="2" customWidth="1"/>
    <col min="8710" max="8710" width="14.5" style="2" customWidth="1"/>
    <col min="8711" max="8960" width="11" style="2"/>
    <col min="8961" max="8961" width="5" style="2" customWidth="1"/>
    <col min="8962" max="8962" width="25.25" style="2" customWidth="1"/>
    <col min="8963" max="8963" width="14.75" style="2" customWidth="1"/>
    <col min="8964" max="8964" width="13.5" style="2" customWidth="1"/>
    <col min="8965" max="8965" width="13.125" style="2" customWidth="1"/>
    <col min="8966" max="8966" width="14.5" style="2" customWidth="1"/>
    <col min="8967" max="9216" width="11" style="2"/>
    <col min="9217" max="9217" width="5" style="2" customWidth="1"/>
    <col min="9218" max="9218" width="25.25" style="2" customWidth="1"/>
    <col min="9219" max="9219" width="14.75" style="2" customWidth="1"/>
    <col min="9220" max="9220" width="13.5" style="2" customWidth="1"/>
    <col min="9221" max="9221" width="13.125" style="2" customWidth="1"/>
    <col min="9222" max="9222" width="14.5" style="2" customWidth="1"/>
    <col min="9223" max="9472" width="11" style="2"/>
    <col min="9473" max="9473" width="5" style="2" customWidth="1"/>
    <col min="9474" max="9474" width="25.25" style="2" customWidth="1"/>
    <col min="9475" max="9475" width="14.75" style="2" customWidth="1"/>
    <col min="9476" max="9476" width="13.5" style="2" customWidth="1"/>
    <col min="9477" max="9477" width="13.125" style="2" customWidth="1"/>
    <col min="9478" max="9478" width="14.5" style="2" customWidth="1"/>
    <col min="9479" max="9728" width="11" style="2"/>
    <col min="9729" max="9729" width="5" style="2" customWidth="1"/>
    <col min="9730" max="9730" width="25.25" style="2" customWidth="1"/>
    <col min="9731" max="9731" width="14.75" style="2" customWidth="1"/>
    <col min="9732" max="9732" width="13.5" style="2" customWidth="1"/>
    <col min="9733" max="9733" width="13.125" style="2" customWidth="1"/>
    <col min="9734" max="9734" width="14.5" style="2" customWidth="1"/>
    <col min="9735" max="9984" width="11" style="2"/>
    <col min="9985" max="9985" width="5" style="2" customWidth="1"/>
    <col min="9986" max="9986" width="25.25" style="2" customWidth="1"/>
    <col min="9987" max="9987" width="14.75" style="2" customWidth="1"/>
    <col min="9988" max="9988" width="13.5" style="2" customWidth="1"/>
    <col min="9989" max="9989" width="13.125" style="2" customWidth="1"/>
    <col min="9990" max="9990" width="14.5" style="2" customWidth="1"/>
    <col min="9991" max="10240" width="11" style="2"/>
    <col min="10241" max="10241" width="5" style="2" customWidth="1"/>
    <col min="10242" max="10242" width="25.25" style="2" customWidth="1"/>
    <col min="10243" max="10243" width="14.75" style="2" customWidth="1"/>
    <col min="10244" max="10244" width="13.5" style="2" customWidth="1"/>
    <col min="10245" max="10245" width="13.125" style="2" customWidth="1"/>
    <col min="10246" max="10246" width="14.5" style="2" customWidth="1"/>
    <col min="10247" max="10496" width="11" style="2"/>
    <col min="10497" max="10497" width="5" style="2" customWidth="1"/>
    <col min="10498" max="10498" width="25.25" style="2" customWidth="1"/>
    <col min="10499" max="10499" width="14.75" style="2" customWidth="1"/>
    <col min="10500" max="10500" width="13.5" style="2" customWidth="1"/>
    <col min="10501" max="10501" width="13.125" style="2" customWidth="1"/>
    <col min="10502" max="10502" width="14.5" style="2" customWidth="1"/>
    <col min="10503" max="10752" width="11" style="2"/>
    <col min="10753" max="10753" width="5" style="2" customWidth="1"/>
    <col min="10754" max="10754" width="25.25" style="2" customWidth="1"/>
    <col min="10755" max="10755" width="14.75" style="2" customWidth="1"/>
    <col min="10756" max="10756" width="13.5" style="2" customWidth="1"/>
    <col min="10757" max="10757" width="13.125" style="2" customWidth="1"/>
    <col min="10758" max="10758" width="14.5" style="2" customWidth="1"/>
    <col min="10759" max="11008" width="11" style="2"/>
    <col min="11009" max="11009" width="5" style="2" customWidth="1"/>
    <col min="11010" max="11010" width="25.25" style="2" customWidth="1"/>
    <col min="11011" max="11011" width="14.75" style="2" customWidth="1"/>
    <col min="11012" max="11012" width="13.5" style="2" customWidth="1"/>
    <col min="11013" max="11013" width="13.125" style="2" customWidth="1"/>
    <col min="11014" max="11014" width="14.5" style="2" customWidth="1"/>
    <col min="11015" max="11264" width="11" style="2"/>
    <col min="11265" max="11265" width="5" style="2" customWidth="1"/>
    <col min="11266" max="11266" width="25.25" style="2" customWidth="1"/>
    <col min="11267" max="11267" width="14.75" style="2" customWidth="1"/>
    <col min="11268" max="11268" width="13.5" style="2" customWidth="1"/>
    <col min="11269" max="11269" width="13.125" style="2" customWidth="1"/>
    <col min="11270" max="11270" width="14.5" style="2" customWidth="1"/>
    <col min="11271" max="11520" width="11" style="2"/>
    <col min="11521" max="11521" width="5" style="2" customWidth="1"/>
    <col min="11522" max="11522" width="25.25" style="2" customWidth="1"/>
    <col min="11523" max="11523" width="14.75" style="2" customWidth="1"/>
    <col min="11524" max="11524" width="13.5" style="2" customWidth="1"/>
    <col min="11525" max="11525" width="13.125" style="2" customWidth="1"/>
    <col min="11526" max="11526" width="14.5" style="2" customWidth="1"/>
    <col min="11527" max="11776" width="11" style="2"/>
    <col min="11777" max="11777" width="5" style="2" customWidth="1"/>
    <col min="11778" max="11778" width="25.25" style="2" customWidth="1"/>
    <col min="11779" max="11779" width="14.75" style="2" customWidth="1"/>
    <col min="11780" max="11780" width="13.5" style="2" customWidth="1"/>
    <col min="11781" max="11781" width="13.125" style="2" customWidth="1"/>
    <col min="11782" max="11782" width="14.5" style="2" customWidth="1"/>
    <col min="11783" max="12032" width="11" style="2"/>
    <col min="12033" max="12033" width="5" style="2" customWidth="1"/>
    <col min="12034" max="12034" width="25.25" style="2" customWidth="1"/>
    <col min="12035" max="12035" width="14.75" style="2" customWidth="1"/>
    <col min="12036" max="12036" width="13.5" style="2" customWidth="1"/>
    <col min="12037" max="12037" width="13.125" style="2" customWidth="1"/>
    <col min="12038" max="12038" width="14.5" style="2" customWidth="1"/>
    <col min="12039" max="12288" width="11" style="2"/>
    <col min="12289" max="12289" width="5" style="2" customWidth="1"/>
    <col min="12290" max="12290" width="25.25" style="2" customWidth="1"/>
    <col min="12291" max="12291" width="14.75" style="2" customWidth="1"/>
    <col min="12292" max="12292" width="13.5" style="2" customWidth="1"/>
    <col min="12293" max="12293" width="13.125" style="2" customWidth="1"/>
    <col min="12294" max="12294" width="14.5" style="2" customWidth="1"/>
    <col min="12295" max="12544" width="11" style="2"/>
    <col min="12545" max="12545" width="5" style="2" customWidth="1"/>
    <col min="12546" max="12546" width="25.25" style="2" customWidth="1"/>
    <col min="12547" max="12547" width="14.75" style="2" customWidth="1"/>
    <col min="12548" max="12548" width="13.5" style="2" customWidth="1"/>
    <col min="12549" max="12549" width="13.125" style="2" customWidth="1"/>
    <col min="12550" max="12550" width="14.5" style="2" customWidth="1"/>
    <col min="12551" max="12800" width="11" style="2"/>
    <col min="12801" max="12801" width="5" style="2" customWidth="1"/>
    <col min="12802" max="12802" width="25.25" style="2" customWidth="1"/>
    <col min="12803" max="12803" width="14.75" style="2" customWidth="1"/>
    <col min="12804" max="12804" width="13.5" style="2" customWidth="1"/>
    <col min="12805" max="12805" width="13.125" style="2" customWidth="1"/>
    <col min="12806" max="12806" width="14.5" style="2" customWidth="1"/>
    <col min="12807" max="13056" width="11" style="2"/>
    <col min="13057" max="13057" width="5" style="2" customWidth="1"/>
    <col min="13058" max="13058" width="25.25" style="2" customWidth="1"/>
    <col min="13059" max="13059" width="14.75" style="2" customWidth="1"/>
    <col min="13060" max="13060" width="13.5" style="2" customWidth="1"/>
    <col min="13061" max="13061" width="13.125" style="2" customWidth="1"/>
    <col min="13062" max="13062" width="14.5" style="2" customWidth="1"/>
    <col min="13063" max="13312" width="11" style="2"/>
    <col min="13313" max="13313" width="5" style="2" customWidth="1"/>
    <col min="13314" max="13314" width="25.25" style="2" customWidth="1"/>
    <col min="13315" max="13315" width="14.75" style="2" customWidth="1"/>
    <col min="13316" max="13316" width="13.5" style="2" customWidth="1"/>
    <col min="13317" max="13317" width="13.125" style="2" customWidth="1"/>
    <col min="13318" max="13318" width="14.5" style="2" customWidth="1"/>
    <col min="13319" max="13568" width="11" style="2"/>
    <col min="13569" max="13569" width="5" style="2" customWidth="1"/>
    <col min="13570" max="13570" width="25.25" style="2" customWidth="1"/>
    <col min="13571" max="13571" width="14.75" style="2" customWidth="1"/>
    <col min="13572" max="13572" width="13.5" style="2" customWidth="1"/>
    <col min="13573" max="13573" width="13.125" style="2" customWidth="1"/>
    <col min="13574" max="13574" width="14.5" style="2" customWidth="1"/>
    <col min="13575" max="13824" width="11" style="2"/>
    <col min="13825" max="13825" width="5" style="2" customWidth="1"/>
    <col min="13826" max="13826" width="25.25" style="2" customWidth="1"/>
    <col min="13827" max="13827" width="14.75" style="2" customWidth="1"/>
    <col min="13828" max="13828" width="13.5" style="2" customWidth="1"/>
    <col min="13829" max="13829" width="13.125" style="2" customWidth="1"/>
    <col min="13830" max="13830" width="14.5" style="2" customWidth="1"/>
    <col min="13831" max="14080" width="11" style="2"/>
    <col min="14081" max="14081" width="5" style="2" customWidth="1"/>
    <col min="14082" max="14082" width="25.25" style="2" customWidth="1"/>
    <col min="14083" max="14083" width="14.75" style="2" customWidth="1"/>
    <col min="14084" max="14084" width="13.5" style="2" customWidth="1"/>
    <col min="14085" max="14085" width="13.125" style="2" customWidth="1"/>
    <col min="14086" max="14086" width="14.5" style="2" customWidth="1"/>
    <col min="14087" max="14336" width="11" style="2"/>
    <col min="14337" max="14337" width="5" style="2" customWidth="1"/>
    <col min="14338" max="14338" width="25.25" style="2" customWidth="1"/>
    <col min="14339" max="14339" width="14.75" style="2" customWidth="1"/>
    <col min="14340" max="14340" width="13.5" style="2" customWidth="1"/>
    <col min="14341" max="14341" width="13.125" style="2" customWidth="1"/>
    <col min="14342" max="14342" width="14.5" style="2" customWidth="1"/>
    <col min="14343" max="14592" width="11" style="2"/>
    <col min="14593" max="14593" width="5" style="2" customWidth="1"/>
    <col min="14594" max="14594" width="25.25" style="2" customWidth="1"/>
    <col min="14595" max="14595" width="14.75" style="2" customWidth="1"/>
    <col min="14596" max="14596" width="13.5" style="2" customWidth="1"/>
    <col min="14597" max="14597" width="13.125" style="2" customWidth="1"/>
    <col min="14598" max="14598" width="14.5" style="2" customWidth="1"/>
    <col min="14599" max="14848" width="11" style="2"/>
    <col min="14849" max="14849" width="5" style="2" customWidth="1"/>
    <col min="14850" max="14850" width="25.25" style="2" customWidth="1"/>
    <col min="14851" max="14851" width="14.75" style="2" customWidth="1"/>
    <col min="14852" max="14852" width="13.5" style="2" customWidth="1"/>
    <col min="14853" max="14853" width="13.125" style="2" customWidth="1"/>
    <col min="14854" max="14854" width="14.5" style="2" customWidth="1"/>
    <col min="14855" max="15104" width="11" style="2"/>
    <col min="15105" max="15105" width="5" style="2" customWidth="1"/>
    <col min="15106" max="15106" width="25.25" style="2" customWidth="1"/>
    <col min="15107" max="15107" width="14.75" style="2" customWidth="1"/>
    <col min="15108" max="15108" width="13.5" style="2" customWidth="1"/>
    <col min="15109" max="15109" width="13.125" style="2" customWidth="1"/>
    <col min="15110" max="15110" width="14.5" style="2" customWidth="1"/>
    <col min="15111" max="15360" width="11" style="2"/>
    <col min="15361" max="15361" width="5" style="2" customWidth="1"/>
    <col min="15362" max="15362" width="25.25" style="2" customWidth="1"/>
    <col min="15363" max="15363" width="14.75" style="2" customWidth="1"/>
    <col min="15364" max="15364" width="13.5" style="2" customWidth="1"/>
    <col min="15365" max="15365" width="13.125" style="2" customWidth="1"/>
    <col min="15366" max="15366" width="14.5" style="2" customWidth="1"/>
    <col min="15367" max="15616" width="11" style="2"/>
    <col min="15617" max="15617" width="5" style="2" customWidth="1"/>
    <col min="15618" max="15618" width="25.25" style="2" customWidth="1"/>
    <col min="15619" max="15619" width="14.75" style="2" customWidth="1"/>
    <col min="15620" max="15620" width="13.5" style="2" customWidth="1"/>
    <col min="15621" max="15621" width="13.125" style="2" customWidth="1"/>
    <col min="15622" max="15622" width="14.5" style="2" customWidth="1"/>
    <col min="15623" max="15872" width="11" style="2"/>
    <col min="15873" max="15873" width="5" style="2" customWidth="1"/>
    <col min="15874" max="15874" width="25.25" style="2" customWidth="1"/>
    <col min="15875" max="15875" width="14.75" style="2" customWidth="1"/>
    <col min="15876" max="15876" width="13.5" style="2" customWidth="1"/>
    <col min="15877" max="15877" width="13.125" style="2" customWidth="1"/>
    <col min="15878" max="15878" width="14.5" style="2" customWidth="1"/>
    <col min="15879" max="16128" width="11" style="2"/>
    <col min="16129" max="16129" width="5" style="2" customWidth="1"/>
    <col min="16130" max="16130" width="25.25" style="2" customWidth="1"/>
    <col min="16131" max="16131" width="14.75" style="2" customWidth="1"/>
    <col min="16132" max="16132" width="13.5" style="2" customWidth="1"/>
    <col min="16133" max="16133" width="13.125" style="2" customWidth="1"/>
    <col min="16134" max="16134" width="14.5" style="2" customWidth="1"/>
    <col min="16135" max="16384" width="11" style="2"/>
  </cols>
  <sheetData>
    <row r="2" spans="1:6">
      <c r="A2" s="1" t="s">
        <v>115</v>
      </c>
    </row>
    <row r="4" spans="1:6">
      <c r="B4" s="2" t="s">
        <v>116</v>
      </c>
      <c r="C4" s="2" t="s">
        <v>117</v>
      </c>
    </row>
    <row r="5" spans="1:6">
      <c r="B5" s="2" t="s">
        <v>118</v>
      </c>
      <c r="C5" s="2" t="s">
        <v>119</v>
      </c>
    </row>
    <row r="6" spans="1:6">
      <c r="B6" s="2" t="s">
        <v>120</v>
      </c>
      <c r="C6" s="3">
        <v>3003101957</v>
      </c>
      <c r="D6" s="2" t="s">
        <v>121</v>
      </c>
    </row>
    <row r="7" spans="1:6">
      <c r="B7" s="2" t="s">
        <v>122</v>
      </c>
      <c r="C7" s="4"/>
      <c r="D7" s="5" t="s">
        <v>121</v>
      </c>
      <c r="E7" s="6"/>
      <c r="F7" s="6"/>
    </row>
    <row r="8" spans="1:6">
      <c r="B8" s="2" t="s">
        <v>123</v>
      </c>
      <c r="C8" s="7" t="s">
        <v>124</v>
      </c>
      <c r="D8" s="5" t="s">
        <v>121</v>
      </c>
      <c r="E8" s="6"/>
      <c r="F8" s="6"/>
    </row>
    <row r="9" spans="1:6">
      <c r="B9" s="2" t="s">
        <v>125</v>
      </c>
      <c r="C9" s="2" t="s">
        <v>126</v>
      </c>
      <c r="D9" s="6"/>
      <c r="E9" s="6"/>
      <c r="F9" s="6"/>
    </row>
    <row r="10" spans="1:6">
      <c r="B10" s="2" t="s">
        <v>127</v>
      </c>
      <c r="C10" s="2" t="s">
        <v>128</v>
      </c>
    </row>
    <row r="11" spans="1:6" ht="15.75">
      <c r="B11" s="2" t="s">
        <v>129</v>
      </c>
      <c r="C11" s="8" t="s">
        <v>130</v>
      </c>
    </row>
    <row r="13" spans="1:6">
      <c r="A13" s="1" t="s">
        <v>131</v>
      </c>
    </row>
    <row r="14" spans="1:6">
      <c r="A14" s="1"/>
      <c r="B14" s="2" t="s">
        <v>132</v>
      </c>
      <c r="C14" s="9">
        <v>45566</v>
      </c>
      <c r="D14" s="2" t="s">
        <v>133</v>
      </c>
    </row>
    <row r="15" spans="1:6">
      <c r="A15" s="1"/>
      <c r="B15" s="2" t="s">
        <v>134</v>
      </c>
      <c r="C15" s="10" t="s">
        <v>135</v>
      </c>
    </row>
    <row r="16" spans="1:6">
      <c r="A16" s="1"/>
      <c r="B16" s="2" t="s">
        <v>136</v>
      </c>
      <c r="C16" s="10"/>
    </row>
    <row r="17" spans="1:10">
      <c r="B17" s="2" t="s">
        <v>137</v>
      </c>
      <c r="C17" s="11">
        <v>0.13</v>
      </c>
    </row>
    <row r="18" spans="1:10">
      <c r="B18" s="2" t="s">
        <v>138</v>
      </c>
      <c r="C18" s="11">
        <v>0.01</v>
      </c>
    </row>
    <row r="20" spans="1:10">
      <c r="A20" s="1" t="s">
        <v>139</v>
      </c>
      <c r="C20" s="12">
        <f>EDATE(C14,0)</f>
        <v>45566</v>
      </c>
      <c r="D20" s="12">
        <f>EDATE(C14,1)</f>
        <v>45597</v>
      </c>
      <c r="E20" s="12">
        <f>EDATE(C14,2)</f>
        <v>45627</v>
      </c>
    </row>
    <row r="21" spans="1:10">
      <c r="A21" s="1"/>
    </row>
    <row r="23" spans="1:10">
      <c r="A23" s="1" t="s">
        <v>140</v>
      </c>
      <c r="C23" s="13" t="s">
        <v>141</v>
      </c>
      <c r="D23" s="13" t="s">
        <v>142</v>
      </c>
      <c r="E23" s="13" t="s">
        <v>143</v>
      </c>
      <c r="F23" s="13" t="s">
        <v>144</v>
      </c>
    </row>
    <row r="24" spans="1:10" ht="15.75">
      <c r="A24" s="1"/>
      <c r="B24" s="10" t="s">
        <v>145</v>
      </c>
      <c r="C24" s="10">
        <f>COUNTIF([1]!liste_paiement[Mois paiement],EMPLOYEUR!C$20)</f>
        <v>35</v>
      </c>
      <c r="D24" s="10">
        <f>COUNTIF([1]!liste_paiement[Mois paiement],EMPLOYEUR!D$20)</f>
        <v>38</v>
      </c>
      <c r="E24" s="10">
        <f>COUNTIF([1]!liste_paiement[Mois paiement],EMPLOYEUR!E$20)</f>
        <v>38</v>
      </c>
      <c r="F24" s="10"/>
    </row>
    <row r="25" spans="1:10">
      <c r="B25" s="10" t="s">
        <v>146</v>
      </c>
      <c r="C25" s="14">
        <f>SUMIF([1]!liste_paiement[Mois paiement],EMPLOYEUR!C$20,[1]!liste_paiement[Salaires plafonnés])</f>
        <v>23812058</v>
      </c>
      <c r="D25" s="14">
        <f>SUMIF([1]!liste_paiement[Mois paiement],EMPLOYEUR!D$20,[1]!liste_paiement[Salaires plafonnés])</f>
        <v>24896911</v>
      </c>
      <c r="E25" s="14">
        <f>SUMIF([1]!liste_paiement[Mois paiement],EMPLOYEUR!E$20,[1]!liste_paiement[Salaires plafonnés])</f>
        <v>24534326</v>
      </c>
      <c r="F25" s="14">
        <f>SUM(C25:E25)</f>
        <v>73243295</v>
      </c>
    </row>
    <row r="26" spans="1:10">
      <c r="B26" s="10" t="s">
        <v>147</v>
      </c>
      <c r="C26" s="14">
        <f>SUMIF([1]!liste_paiement[Mois paiement],EMPLOYEUR!C$20,[1]!liste_paiement[CNaPS])*13</f>
        <v>3146901.9400000004</v>
      </c>
      <c r="D26" s="14">
        <f>SUMIF([1]!liste_paiement[Mois paiement],EMPLOYEUR!D$20,[1]!liste_paiement[CNaPS])*13</f>
        <v>3287932.8300000005</v>
      </c>
      <c r="E26" s="14">
        <f>SUMIF([1]!liste_paiement[Mois paiement],EMPLOYEUR!E$20,[1]!liste_paiement[CNaPS])*13</f>
        <v>3240796.7800000007</v>
      </c>
      <c r="F26" s="14">
        <f>SUM(C26:E26)</f>
        <v>9675631.5500000026</v>
      </c>
      <c r="H26" s="15"/>
      <c r="I26" s="15"/>
      <c r="J26" s="16"/>
    </row>
    <row r="27" spans="1:10">
      <c r="B27" s="10" t="s">
        <v>148</v>
      </c>
      <c r="C27" s="14">
        <f>SUMIF([1]!liste_paiement[Mois paiement],EMPLOYEUR!C$20,[1]!liste_paiement[CNaPS])</f>
        <v>242069.38000000003</v>
      </c>
      <c r="D27" s="14">
        <f>SUMIF([1]!liste_paiement[Mois paiement],EMPLOYEUR!D$20,[1]!liste_paiement[CNaPS])</f>
        <v>252917.91000000003</v>
      </c>
      <c r="E27" s="14">
        <f>SUMIF([1]!liste_paiement[Mois paiement],EMPLOYEUR!E$20,[1]!liste_paiement[CNaPS])</f>
        <v>249292.06000000006</v>
      </c>
      <c r="F27" s="14">
        <f>SUM(C27:E27)</f>
        <v>744279.35000000009</v>
      </c>
    </row>
    <row r="28" spans="1:10">
      <c r="B28" s="17"/>
      <c r="C28" s="18"/>
      <c r="D28" s="18"/>
      <c r="E28" s="18"/>
      <c r="F28" s="18"/>
    </row>
    <row r="29" spans="1:10">
      <c r="C29" s="19"/>
      <c r="D29" s="19"/>
      <c r="E29" s="19"/>
      <c r="F29" s="19"/>
    </row>
    <row r="30" spans="1:10" ht="15.75">
      <c r="A30" s="20" t="s">
        <v>149</v>
      </c>
      <c r="B30"/>
      <c r="C30" s="19"/>
      <c r="D30" s="19"/>
      <c r="E30" s="19"/>
      <c r="F30" s="19"/>
    </row>
    <row r="31" spans="1:10" ht="15.75">
      <c r="A31"/>
      <c r="B31" s="21" t="s">
        <v>132</v>
      </c>
      <c r="C31" s="22" t="s">
        <v>150</v>
      </c>
      <c r="D31" s="19"/>
      <c r="E31" s="19"/>
      <c r="F31" s="19"/>
    </row>
    <row r="32" spans="1:10" ht="15.75">
      <c r="A32"/>
      <c r="B32" s="21" t="s">
        <v>137</v>
      </c>
      <c r="C32" s="22" t="s">
        <v>151</v>
      </c>
      <c r="D32" s="19"/>
      <c r="E32" s="19"/>
      <c r="F32" s="19"/>
    </row>
    <row r="33" spans="1:10">
      <c r="C33" s="19"/>
      <c r="D33" s="19"/>
      <c r="E33" s="19"/>
      <c r="F33" s="19"/>
    </row>
    <row r="34" spans="1:10" ht="15.75">
      <c r="A34" s="20" t="s">
        <v>152</v>
      </c>
      <c r="B34"/>
      <c r="C34"/>
      <c r="D34"/>
      <c r="E34"/>
      <c r="F34"/>
    </row>
    <row r="35" spans="1:10" ht="15.75">
      <c r="A35"/>
      <c r="B35" s="23" t="s">
        <v>153</v>
      </c>
      <c r="C35" s="12">
        <f>EDATE(C14,0)</f>
        <v>45566</v>
      </c>
      <c r="D35" s="12">
        <f>EDATE(C14,1)</f>
        <v>45597</v>
      </c>
      <c r="E35" s="12">
        <f>EDATE(C14,2)</f>
        <v>45627</v>
      </c>
      <c r="F35" s="24" t="s">
        <v>144</v>
      </c>
    </row>
    <row r="36" spans="1:10" ht="15.75">
      <c r="A36"/>
      <c r="B36" s="23" t="s">
        <v>154</v>
      </c>
      <c r="C36" s="25">
        <f t="shared" ref="C36:E37" si="0">C24</f>
        <v>35</v>
      </c>
      <c r="D36" s="25">
        <f t="shared" si="0"/>
        <v>38</v>
      </c>
      <c r="E36" s="25">
        <f t="shared" si="0"/>
        <v>38</v>
      </c>
      <c r="F36" s="26">
        <v>0</v>
      </c>
    </row>
    <row r="37" spans="1:10" ht="15.75">
      <c r="A37"/>
      <c r="B37" s="23" t="s">
        <v>146</v>
      </c>
      <c r="C37" s="14">
        <f t="shared" si="0"/>
        <v>23812058</v>
      </c>
      <c r="D37" s="14">
        <f t="shared" si="0"/>
        <v>24896911</v>
      </c>
      <c r="E37" s="14">
        <f t="shared" si="0"/>
        <v>24534326</v>
      </c>
      <c r="F37" s="14">
        <f>SUM(C37:E37)</f>
        <v>73243295</v>
      </c>
    </row>
    <row r="38" spans="1:10" ht="15.75">
      <c r="A38"/>
      <c r="B38" s="27" t="s">
        <v>147</v>
      </c>
      <c r="C38" s="14">
        <f>SUMIF([1]!liste_paiement[Mois paiement],EMPLOYEUR!C$20,[1]!liste_paiement[CNaPS])</f>
        <v>242069.38000000003</v>
      </c>
      <c r="D38" s="14">
        <f>SUMIF([1]!liste_paiement[Mois paiement],EMPLOYEUR!D$20,[1]!liste_paiement[CNaPS])</f>
        <v>252917.91000000003</v>
      </c>
      <c r="E38" s="14">
        <f>SUMIF([1]!liste_paiement[Mois paiement],EMPLOYEUR!E$20,[1]!liste_paiement[CNaPS])</f>
        <v>249292.06000000006</v>
      </c>
      <c r="F38" s="14">
        <f>SUM(C38:E38)</f>
        <v>744279.35000000009</v>
      </c>
      <c r="H38" s="15"/>
      <c r="I38" s="15"/>
      <c r="J38" s="16"/>
    </row>
    <row r="39" spans="1:10">
      <c r="C39" s="19"/>
      <c r="D39" s="19"/>
      <c r="E39" s="19"/>
      <c r="F39" s="19"/>
    </row>
    <row r="40" spans="1:10">
      <c r="C40" s="19"/>
      <c r="D40" s="19"/>
      <c r="E40" s="19"/>
      <c r="F40" s="19"/>
    </row>
    <row r="42" spans="1:10">
      <c r="B42" s="28" t="s">
        <v>155</v>
      </c>
    </row>
  </sheetData>
  <hyperlinks>
    <hyperlink ref="C11" r:id="rId1" xr:uid="{68C161D6-A143-41B9-AB08-A5DADE9EE0FA}"/>
  </hyperlinks>
  <pageMargins left="0.78740157499999996" right="0.78740157499999996" top="0.984251969" bottom="0.984251969" header="0.4921259845" footer="0.4921259845"/>
  <pageSetup orientation="landscape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26E0-2A7B-4A37-98DF-5011AA53B010}">
  <sheetPr codeName="Feuil42">
    <tabColor rgb="FFFFFF00"/>
  </sheetPr>
  <dimension ref="A1:W49"/>
  <sheetViews>
    <sheetView tabSelected="1" view="pageBreakPreview" zoomScaleNormal="100" zoomScaleSheetLayoutView="100" workbookViewId="0">
      <selection activeCell="D18" sqref="D18"/>
    </sheetView>
  </sheetViews>
  <sheetFormatPr baseColWidth="10" defaultColWidth="11" defaultRowHeight="12.75"/>
  <cols>
    <col min="1" max="1" width="11" style="29"/>
    <col min="2" max="2" width="13.875" style="29" customWidth="1"/>
    <col min="3" max="3" width="15.5" style="29" bestFit="1" customWidth="1"/>
    <col min="4" max="4" width="19.875" style="29" customWidth="1"/>
    <col min="5" max="5" width="18.75" style="29" customWidth="1"/>
    <col min="6" max="6" width="8.75" style="29" customWidth="1"/>
    <col min="7" max="7" width="9.5" style="29" customWidth="1"/>
    <col min="8" max="8" width="6.375" style="29" customWidth="1"/>
    <col min="9" max="9" width="11.625" style="39" customWidth="1"/>
    <col min="10" max="10" width="8.625" style="29" customWidth="1"/>
    <col min="11" max="11" width="7.25" style="29" customWidth="1"/>
    <col min="12" max="12" width="12.375" style="29" customWidth="1"/>
    <col min="13" max="13" width="11.625" style="39" customWidth="1"/>
    <col min="14" max="14" width="8.625" style="29" customWidth="1"/>
    <col min="15" max="15" width="7.25" style="29" customWidth="1"/>
    <col min="16" max="16" width="10.125" style="29" customWidth="1"/>
    <col min="17" max="17" width="11.625" style="39" customWidth="1"/>
    <col min="18" max="18" width="8.625" style="29" customWidth="1"/>
    <col min="19" max="19" width="7.25" style="29" customWidth="1"/>
    <col min="20" max="20" width="11.375" style="29" customWidth="1"/>
    <col min="21" max="21" width="11.75" style="29" customWidth="1"/>
    <col min="22" max="22" width="10.5" style="29" customWidth="1"/>
    <col min="23" max="23" width="9.75" style="29" customWidth="1"/>
    <col min="24" max="24" width="16.125" style="29" customWidth="1"/>
    <col min="25" max="235" width="11" style="29"/>
    <col min="236" max="236" width="9.125" style="29" customWidth="1"/>
    <col min="237" max="237" width="8.5" style="29" customWidth="1"/>
    <col min="238" max="238" width="18.75" style="29" customWidth="1"/>
    <col min="239" max="239" width="7.75" style="29" customWidth="1"/>
    <col min="240" max="240" width="8.75" style="29" customWidth="1"/>
    <col min="241" max="241" width="9.5" style="29" customWidth="1"/>
    <col min="242" max="242" width="6.375" style="29" bestFit="1" customWidth="1"/>
    <col min="243" max="243" width="6.625" style="29" bestFit="1" customWidth="1"/>
    <col min="244" max="244" width="7.25" style="29" customWidth="1"/>
    <col min="245" max="245" width="7.5" style="29" customWidth="1"/>
    <col min="246" max="246" width="11.5" style="29" bestFit="1" customWidth="1"/>
    <col min="247" max="247" width="8.125" style="29" bestFit="1" customWidth="1"/>
    <col min="248" max="248" width="8.75" style="29" customWidth="1"/>
    <col min="249" max="249" width="11" style="29"/>
    <col min="250" max="250" width="5.125" style="29" customWidth="1"/>
    <col min="251" max="251" width="15.5" style="29" customWidth="1"/>
    <col min="252" max="252" width="15.5" style="29" bestFit="1" customWidth="1"/>
    <col min="253" max="491" width="11" style="29"/>
    <col min="492" max="492" width="9.125" style="29" customWidth="1"/>
    <col min="493" max="493" width="8.5" style="29" customWidth="1"/>
    <col min="494" max="494" width="18.75" style="29" customWidth="1"/>
    <col min="495" max="495" width="7.75" style="29" customWidth="1"/>
    <col min="496" max="496" width="8.75" style="29" customWidth="1"/>
    <col min="497" max="497" width="9.5" style="29" customWidth="1"/>
    <col min="498" max="498" width="6.375" style="29" bestFit="1" customWidth="1"/>
    <col min="499" max="499" width="6.625" style="29" bestFit="1" customWidth="1"/>
    <col min="500" max="500" width="7.25" style="29" customWidth="1"/>
    <col min="501" max="501" width="7.5" style="29" customWidth="1"/>
    <col min="502" max="502" width="11.5" style="29" bestFit="1" customWidth="1"/>
    <col min="503" max="503" width="8.125" style="29" bestFit="1" customWidth="1"/>
    <col min="504" max="504" width="8.75" style="29" customWidth="1"/>
    <col min="505" max="505" width="11" style="29"/>
    <col min="506" max="506" width="5.125" style="29" customWidth="1"/>
    <col min="507" max="507" width="15.5" style="29" customWidth="1"/>
    <col min="508" max="508" width="15.5" style="29" bestFit="1" customWidth="1"/>
    <col min="509" max="747" width="11" style="29"/>
    <col min="748" max="748" width="9.125" style="29" customWidth="1"/>
    <col min="749" max="749" width="8.5" style="29" customWidth="1"/>
    <col min="750" max="750" width="18.75" style="29" customWidth="1"/>
    <col min="751" max="751" width="7.75" style="29" customWidth="1"/>
    <col min="752" max="752" width="8.75" style="29" customWidth="1"/>
    <col min="753" max="753" width="9.5" style="29" customWidth="1"/>
    <col min="754" max="754" width="6.375" style="29" bestFit="1" customWidth="1"/>
    <col min="755" max="755" width="6.625" style="29" bestFit="1" customWidth="1"/>
    <col min="756" max="756" width="7.25" style="29" customWidth="1"/>
    <col min="757" max="757" width="7.5" style="29" customWidth="1"/>
    <col min="758" max="758" width="11.5" style="29" bestFit="1" customWidth="1"/>
    <col min="759" max="759" width="8.125" style="29" bestFit="1" customWidth="1"/>
    <col min="760" max="760" width="8.75" style="29" customWidth="1"/>
    <col min="761" max="761" width="11" style="29"/>
    <col min="762" max="762" width="5.125" style="29" customWidth="1"/>
    <col min="763" max="763" width="15.5" style="29" customWidth="1"/>
    <col min="764" max="764" width="15.5" style="29" bestFit="1" customWidth="1"/>
    <col min="765" max="1003" width="11" style="29"/>
    <col min="1004" max="1004" width="9.125" style="29" customWidth="1"/>
    <col min="1005" max="1005" width="8.5" style="29" customWidth="1"/>
    <col min="1006" max="1006" width="18.75" style="29" customWidth="1"/>
    <col min="1007" max="1007" width="7.75" style="29" customWidth="1"/>
    <col min="1008" max="1008" width="8.75" style="29" customWidth="1"/>
    <col min="1009" max="1009" width="9.5" style="29" customWidth="1"/>
    <col min="1010" max="1010" width="6.375" style="29" bestFit="1" customWidth="1"/>
    <col min="1011" max="1011" width="6.625" style="29" bestFit="1" customWidth="1"/>
    <col min="1012" max="1012" width="7.25" style="29" customWidth="1"/>
    <col min="1013" max="1013" width="7.5" style="29" customWidth="1"/>
    <col min="1014" max="1014" width="11.5" style="29" bestFit="1" customWidth="1"/>
    <col min="1015" max="1015" width="8.125" style="29" bestFit="1" customWidth="1"/>
    <col min="1016" max="1016" width="8.75" style="29" customWidth="1"/>
    <col min="1017" max="1017" width="11" style="29"/>
    <col min="1018" max="1018" width="5.125" style="29" customWidth="1"/>
    <col min="1019" max="1019" width="15.5" style="29" customWidth="1"/>
    <col min="1020" max="1020" width="15.5" style="29" bestFit="1" customWidth="1"/>
    <col min="1021" max="1259" width="11" style="29"/>
    <col min="1260" max="1260" width="9.125" style="29" customWidth="1"/>
    <col min="1261" max="1261" width="8.5" style="29" customWidth="1"/>
    <col min="1262" max="1262" width="18.75" style="29" customWidth="1"/>
    <col min="1263" max="1263" width="7.75" style="29" customWidth="1"/>
    <col min="1264" max="1264" width="8.75" style="29" customWidth="1"/>
    <col min="1265" max="1265" width="9.5" style="29" customWidth="1"/>
    <col min="1266" max="1266" width="6.375" style="29" bestFit="1" customWidth="1"/>
    <col min="1267" max="1267" width="6.625" style="29" bestFit="1" customWidth="1"/>
    <col min="1268" max="1268" width="7.25" style="29" customWidth="1"/>
    <col min="1269" max="1269" width="7.5" style="29" customWidth="1"/>
    <col min="1270" max="1270" width="11.5" style="29" bestFit="1" customWidth="1"/>
    <col min="1271" max="1271" width="8.125" style="29" bestFit="1" customWidth="1"/>
    <col min="1272" max="1272" width="8.75" style="29" customWidth="1"/>
    <col min="1273" max="1273" width="11" style="29"/>
    <col min="1274" max="1274" width="5.125" style="29" customWidth="1"/>
    <col min="1275" max="1275" width="15.5" style="29" customWidth="1"/>
    <col min="1276" max="1276" width="15.5" style="29" bestFit="1" customWidth="1"/>
    <col min="1277" max="1515" width="11" style="29"/>
    <col min="1516" max="1516" width="9.125" style="29" customWidth="1"/>
    <col min="1517" max="1517" width="8.5" style="29" customWidth="1"/>
    <col min="1518" max="1518" width="18.75" style="29" customWidth="1"/>
    <col min="1519" max="1519" width="7.75" style="29" customWidth="1"/>
    <col min="1520" max="1520" width="8.75" style="29" customWidth="1"/>
    <col min="1521" max="1521" width="9.5" style="29" customWidth="1"/>
    <col min="1522" max="1522" width="6.375" style="29" bestFit="1" customWidth="1"/>
    <col min="1523" max="1523" width="6.625" style="29" bestFit="1" customWidth="1"/>
    <col min="1524" max="1524" width="7.25" style="29" customWidth="1"/>
    <col min="1525" max="1525" width="7.5" style="29" customWidth="1"/>
    <col min="1526" max="1526" width="11.5" style="29" bestFit="1" customWidth="1"/>
    <col min="1527" max="1527" width="8.125" style="29" bestFit="1" customWidth="1"/>
    <col min="1528" max="1528" width="8.75" style="29" customWidth="1"/>
    <col min="1529" max="1529" width="11" style="29"/>
    <col min="1530" max="1530" width="5.125" style="29" customWidth="1"/>
    <col min="1531" max="1531" width="15.5" style="29" customWidth="1"/>
    <col min="1532" max="1532" width="15.5" style="29" bestFit="1" customWidth="1"/>
    <col min="1533" max="1771" width="11" style="29"/>
    <col min="1772" max="1772" width="9.125" style="29" customWidth="1"/>
    <col min="1773" max="1773" width="8.5" style="29" customWidth="1"/>
    <col min="1774" max="1774" width="18.75" style="29" customWidth="1"/>
    <col min="1775" max="1775" width="7.75" style="29" customWidth="1"/>
    <col min="1776" max="1776" width="8.75" style="29" customWidth="1"/>
    <col min="1777" max="1777" width="9.5" style="29" customWidth="1"/>
    <col min="1778" max="1778" width="6.375" style="29" bestFit="1" customWidth="1"/>
    <col min="1779" max="1779" width="6.625" style="29" bestFit="1" customWidth="1"/>
    <col min="1780" max="1780" width="7.25" style="29" customWidth="1"/>
    <col min="1781" max="1781" width="7.5" style="29" customWidth="1"/>
    <col min="1782" max="1782" width="11.5" style="29" bestFit="1" customWidth="1"/>
    <col min="1783" max="1783" width="8.125" style="29" bestFit="1" customWidth="1"/>
    <col min="1784" max="1784" width="8.75" style="29" customWidth="1"/>
    <col min="1785" max="1785" width="11" style="29"/>
    <col min="1786" max="1786" width="5.125" style="29" customWidth="1"/>
    <col min="1787" max="1787" width="15.5" style="29" customWidth="1"/>
    <col min="1788" max="1788" width="15.5" style="29" bestFit="1" customWidth="1"/>
    <col min="1789" max="2027" width="11" style="29"/>
    <col min="2028" max="2028" width="9.125" style="29" customWidth="1"/>
    <col min="2029" max="2029" width="8.5" style="29" customWidth="1"/>
    <col min="2030" max="2030" width="18.75" style="29" customWidth="1"/>
    <col min="2031" max="2031" width="7.75" style="29" customWidth="1"/>
    <col min="2032" max="2032" width="8.75" style="29" customWidth="1"/>
    <col min="2033" max="2033" width="9.5" style="29" customWidth="1"/>
    <col min="2034" max="2034" width="6.375" style="29" bestFit="1" customWidth="1"/>
    <col min="2035" max="2035" width="6.625" style="29" bestFit="1" customWidth="1"/>
    <col min="2036" max="2036" width="7.25" style="29" customWidth="1"/>
    <col min="2037" max="2037" width="7.5" style="29" customWidth="1"/>
    <col min="2038" max="2038" width="11.5" style="29" bestFit="1" customWidth="1"/>
    <col min="2039" max="2039" width="8.125" style="29" bestFit="1" customWidth="1"/>
    <col min="2040" max="2040" width="8.75" style="29" customWidth="1"/>
    <col min="2041" max="2041" width="11" style="29"/>
    <col min="2042" max="2042" width="5.125" style="29" customWidth="1"/>
    <col min="2043" max="2043" width="15.5" style="29" customWidth="1"/>
    <col min="2044" max="2044" width="15.5" style="29" bestFit="1" customWidth="1"/>
    <col min="2045" max="2283" width="11" style="29"/>
    <col min="2284" max="2284" width="9.125" style="29" customWidth="1"/>
    <col min="2285" max="2285" width="8.5" style="29" customWidth="1"/>
    <col min="2286" max="2286" width="18.75" style="29" customWidth="1"/>
    <col min="2287" max="2287" width="7.75" style="29" customWidth="1"/>
    <col min="2288" max="2288" width="8.75" style="29" customWidth="1"/>
    <col min="2289" max="2289" width="9.5" style="29" customWidth="1"/>
    <col min="2290" max="2290" width="6.375" style="29" bestFit="1" customWidth="1"/>
    <col min="2291" max="2291" width="6.625" style="29" bestFit="1" customWidth="1"/>
    <col min="2292" max="2292" width="7.25" style="29" customWidth="1"/>
    <col min="2293" max="2293" width="7.5" style="29" customWidth="1"/>
    <col min="2294" max="2294" width="11.5" style="29" bestFit="1" customWidth="1"/>
    <col min="2295" max="2295" width="8.125" style="29" bestFit="1" customWidth="1"/>
    <col min="2296" max="2296" width="8.75" style="29" customWidth="1"/>
    <col min="2297" max="2297" width="11" style="29"/>
    <col min="2298" max="2298" width="5.125" style="29" customWidth="1"/>
    <col min="2299" max="2299" width="15.5" style="29" customWidth="1"/>
    <col min="2300" max="2300" width="15.5" style="29" bestFit="1" customWidth="1"/>
    <col min="2301" max="2539" width="11" style="29"/>
    <col min="2540" max="2540" width="9.125" style="29" customWidth="1"/>
    <col min="2541" max="2541" width="8.5" style="29" customWidth="1"/>
    <col min="2542" max="2542" width="18.75" style="29" customWidth="1"/>
    <col min="2543" max="2543" width="7.75" style="29" customWidth="1"/>
    <col min="2544" max="2544" width="8.75" style="29" customWidth="1"/>
    <col min="2545" max="2545" width="9.5" style="29" customWidth="1"/>
    <col min="2546" max="2546" width="6.375" style="29" bestFit="1" customWidth="1"/>
    <col min="2547" max="2547" width="6.625" style="29" bestFit="1" customWidth="1"/>
    <col min="2548" max="2548" width="7.25" style="29" customWidth="1"/>
    <col min="2549" max="2549" width="7.5" style="29" customWidth="1"/>
    <col min="2550" max="2550" width="11.5" style="29" bestFit="1" customWidth="1"/>
    <col min="2551" max="2551" width="8.125" style="29" bestFit="1" customWidth="1"/>
    <col min="2552" max="2552" width="8.75" style="29" customWidth="1"/>
    <col min="2553" max="2553" width="11" style="29"/>
    <col min="2554" max="2554" width="5.125" style="29" customWidth="1"/>
    <col min="2555" max="2555" width="15.5" style="29" customWidth="1"/>
    <col min="2556" max="2556" width="15.5" style="29" bestFit="1" customWidth="1"/>
    <col min="2557" max="2795" width="11" style="29"/>
    <col min="2796" max="2796" width="9.125" style="29" customWidth="1"/>
    <col min="2797" max="2797" width="8.5" style="29" customWidth="1"/>
    <col min="2798" max="2798" width="18.75" style="29" customWidth="1"/>
    <col min="2799" max="2799" width="7.75" style="29" customWidth="1"/>
    <col min="2800" max="2800" width="8.75" style="29" customWidth="1"/>
    <col min="2801" max="2801" width="9.5" style="29" customWidth="1"/>
    <col min="2802" max="2802" width="6.375" style="29" bestFit="1" customWidth="1"/>
    <col min="2803" max="2803" width="6.625" style="29" bestFit="1" customWidth="1"/>
    <col min="2804" max="2804" width="7.25" style="29" customWidth="1"/>
    <col min="2805" max="2805" width="7.5" style="29" customWidth="1"/>
    <col min="2806" max="2806" width="11.5" style="29" bestFit="1" customWidth="1"/>
    <col min="2807" max="2807" width="8.125" style="29" bestFit="1" customWidth="1"/>
    <col min="2808" max="2808" width="8.75" style="29" customWidth="1"/>
    <col min="2809" max="2809" width="11" style="29"/>
    <col min="2810" max="2810" width="5.125" style="29" customWidth="1"/>
    <col min="2811" max="2811" width="15.5" style="29" customWidth="1"/>
    <col min="2812" max="2812" width="15.5" style="29" bestFit="1" customWidth="1"/>
    <col min="2813" max="3051" width="11" style="29"/>
    <col min="3052" max="3052" width="9.125" style="29" customWidth="1"/>
    <col min="3053" max="3053" width="8.5" style="29" customWidth="1"/>
    <col min="3054" max="3054" width="18.75" style="29" customWidth="1"/>
    <col min="3055" max="3055" width="7.75" style="29" customWidth="1"/>
    <col min="3056" max="3056" width="8.75" style="29" customWidth="1"/>
    <col min="3057" max="3057" width="9.5" style="29" customWidth="1"/>
    <col min="3058" max="3058" width="6.375" style="29" bestFit="1" customWidth="1"/>
    <col min="3059" max="3059" width="6.625" style="29" bestFit="1" customWidth="1"/>
    <col min="3060" max="3060" width="7.25" style="29" customWidth="1"/>
    <col min="3061" max="3061" width="7.5" style="29" customWidth="1"/>
    <col min="3062" max="3062" width="11.5" style="29" bestFit="1" customWidth="1"/>
    <col min="3063" max="3063" width="8.125" style="29" bestFit="1" customWidth="1"/>
    <col min="3064" max="3064" width="8.75" style="29" customWidth="1"/>
    <col min="3065" max="3065" width="11" style="29"/>
    <col min="3066" max="3066" width="5.125" style="29" customWidth="1"/>
    <col min="3067" max="3067" width="15.5" style="29" customWidth="1"/>
    <col min="3068" max="3068" width="15.5" style="29" bestFit="1" customWidth="1"/>
    <col min="3069" max="3307" width="11" style="29"/>
    <col min="3308" max="3308" width="9.125" style="29" customWidth="1"/>
    <col min="3309" max="3309" width="8.5" style="29" customWidth="1"/>
    <col min="3310" max="3310" width="18.75" style="29" customWidth="1"/>
    <col min="3311" max="3311" width="7.75" style="29" customWidth="1"/>
    <col min="3312" max="3312" width="8.75" style="29" customWidth="1"/>
    <col min="3313" max="3313" width="9.5" style="29" customWidth="1"/>
    <col min="3314" max="3314" width="6.375" style="29" bestFit="1" customWidth="1"/>
    <col min="3315" max="3315" width="6.625" style="29" bestFit="1" customWidth="1"/>
    <col min="3316" max="3316" width="7.25" style="29" customWidth="1"/>
    <col min="3317" max="3317" width="7.5" style="29" customWidth="1"/>
    <col min="3318" max="3318" width="11.5" style="29" bestFit="1" customWidth="1"/>
    <col min="3319" max="3319" width="8.125" style="29" bestFit="1" customWidth="1"/>
    <col min="3320" max="3320" width="8.75" style="29" customWidth="1"/>
    <col min="3321" max="3321" width="11" style="29"/>
    <col min="3322" max="3322" width="5.125" style="29" customWidth="1"/>
    <col min="3323" max="3323" width="15.5" style="29" customWidth="1"/>
    <col min="3324" max="3324" width="15.5" style="29" bestFit="1" customWidth="1"/>
    <col min="3325" max="3563" width="11" style="29"/>
    <col min="3564" max="3564" width="9.125" style="29" customWidth="1"/>
    <col min="3565" max="3565" width="8.5" style="29" customWidth="1"/>
    <col min="3566" max="3566" width="18.75" style="29" customWidth="1"/>
    <col min="3567" max="3567" width="7.75" style="29" customWidth="1"/>
    <col min="3568" max="3568" width="8.75" style="29" customWidth="1"/>
    <col min="3569" max="3569" width="9.5" style="29" customWidth="1"/>
    <col min="3570" max="3570" width="6.375" style="29" bestFit="1" customWidth="1"/>
    <col min="3571" max="3571" width="6.625" style="29" bestFit="1" customWidth="1"/>
    <col min="3572" max="3572" width="7.25" style="29" customWidth="1"/>
    <col min="3573" max="3573" width="7.5" style="29" customWidth="1"/>
    <col min="3574" max="3574" width="11.5" style="29" bestFit="1" customWidth="1"/>
    <col min="3575" max="3575" width="8.125" style="29" bestFit="1" customWidth="1"/>
    <col min="3576" max="3576" width="8.75" style="29" customWidth="1"/>
    <col min="3577" max="3577" width="11" style="29"/>
    <col min="3578" max="3578" width="5.125" style="29" customWidth="1"/>
    <col min="3579" max="3579" width="15.5" style="29" customWidth="1"/>
    <col min="3580" max="3580" width="15.5" style="29" bestFit="1" customWidth="1"/>
    <col min="3581" max="3819" width="11" style="29"/>
    <col min="3820" max="3820" width="9.125" style="29" customWidth="1"/>
    <col min="3821" max="3821" width="8.5" style="29" customWidth="1"/>
    <col min="3822" max="3822" width="18.75" style="29" customWidth="1"/>
    <col min="3823" max="3823" width="7.75" style="29" customWidth="1"/>
    <col min="3824" max="3824" width="8.75" style="29" customWidth="1"/>
    <col min="3825" max="3825" width="9.5" style="29" customWidth="1"/>
    <col min="3826" max="3826" width="6.375" style="29" bestFit="1" customWidth="1"/>
    <col min="3827" max="3827" width="6.625" style="29" bestFit="1" customWidth="1"/>
    <col min="3828" max="3828" width="7.25" style="29" customWidth="1"/>
    <col min="3829" max="3829" width="7.5" style="29" customWidth="1"/>
    <col min="3830" max="3830" width="11.5" style="29" bestFit="1" customWidth="1"/>
    <col min="3831" max="3831" width="8.125" style="29" bestFit="1" customWidth="1"/>
    <col min="3832" max="3832" width="8.75" style="29" customWidth="1"/>
    <col min="3833" max="3833" width="11" style="29"/>
    <col min="3834" max="3834" width="5.125" style="29" customWidth="1"/>
    <col min="3835" max="3835" width="15.5" style="29" customWidth="1"/>
    <col min="3836" max="3836" width="15.5" style="29" bestFit="1" customWidth="1"/>
    <col min="3837" max="4075" width="11" style="29"/>
    <col min="4076" max="4076" width="9.125" style="29" customWidth="1"/>
    <col min="4077" max="4077" width="8.5" style="29" customWidth="1"/>
    <col min="4078" max="4078" width="18.75" style="29" customWidth="1"/>
    <col min="4079" max="4079" width="7.75" style="29" customWidth="1"/>
    <col min="4080" max="4080" width="8.75" style="29" customWidth="1"/>
    <col min="4081" max="4081" width="9.5" style="29" customWidth="1"/>
    <col min="4082" max="4082" width="6.375" style="29" bestFit="1" customWidth="1"/>
    <col min="4083" max="4083" width="6.625" style="29" bestFit="1" customWidth="1"/>
    <col min="4084" max="4084" width="7.25" style="29" customWidth="1"/>
    <col min="4085" max="4085" width="7.5" style="29" customWidth="1"/>
    <col min="4086" max="4086" width="11.5" style="29" bestFit="1" customWidth="1"/>
    <col min="4087" max="4087" width="8.125" style="29" bestFit="1" customWidth="1"/>
    <col min="4088" max="4088" width="8.75" style="29" customWidth="1"/>
    <col min="4089" max="4089" width="11" style="29"/>
    <col min="4090" max="4090" width="5.125" style="29" customWidth="1"/>
    <col min="4091" max="4091" width="15.5" style="29" customWidth="1"/>
    <col min="4092" max="4092" width="15.5" style="29" bestFit="1" customWidth="1"/>
    <col min="4093" max="4331" width="11" style="29"/>
    <col min="4332" max="4332" width="9.125" style="29" customWidth="1"/>
    <col min="4333" max="4333" width="8.5" style="29" customWidth="1"/>
    <col min="4334" max="4334" width="18.75" style="29" customWidth="1"/>
    <col min="4335" max="4335" width="7.75" style="29" customWidth="1"/>
    <col min="4336" max="4336" width="8.75" style="29" customWidth="1"/>
    <col min="4337" max="4337" width="9.5" style="29" customWidth="1"/>
    <col min="4338" max="4338" width="6.375" style="29" bestFit="1" customWidth="1"/>
    <col min="4339" max="4339" width="6.625" style="29" bestFit="1" customWidth="1"/>
    <col min="4340" max="4340" width="7.25" style="29" customWidth="1"/>
    <col min="4341" max="4341" width="7.5" style="29" customWidth="1"/>
    <col min="4342" max="4342" width="11.5" style="29" bestFit="1" customWidth="1"/>
    <col min="4343" max="4343" width="8.125" style="29" bestFit="1" customWidth="1"/>
    <col min="4344" max="4344" width="8.75" style="29" customWidth="1"/>
    <col min="4345" max="4345" width="11" style="29"/>
    <col min="4346" max="4346" width="5.125" style="29" customWidth="1"/>
    <col min="4347" max="4347" width="15.5" style="29" customWidth="1"/>
    <col min="4348" max="4348" width="15.5" style="29" bestFit="1" customWidth="1"/>
    <col min="4349" max="4587" width="11" style="29"/>
    <col min="4588" max="4588" width="9.125" style="29" customWidth="1"/>
    <col min="4589" max="4589" width="8.5" style="29" customWidth="1"/>
    <col min="4590" max="4590" width="18.75" style="29" customWidth="1"/>
    <col min="4591" max="4591" width="7.75" style="29" customWidth="1"/>
    <col min="4592" max="4592" width="8.75" style="29" customWidth="1"/>
    <col min="4593" max="4593" width="9.5" style="29" customWidth="1"/>
    <col min="4594" max="4594" width="6.375" style="29" bestFit="1" customWidth="1"/>
    <col min="4595" max="4595" width="6.625" style="29" bestFit="1" customWidth="1"/>
    <col min="4596" max="4596" width="7.25" style="29" customWidth="1"/>
    <col min="4597" max="4597" width="7.5" style="29" customWidth="1"/>
    <col min="4598" max="4598" width="11.5" style="29" bestFit="1" customWidth="1"/>
    <col min="4599" max="4599" width="8.125" style="29" bestFit="1" customWidth="1"/>
    <col min="4600" max="4600" width="8.75" style="29" customWidth="1"/>
    <col min="4601" max="4601" width="11" style="29"/>
    <col min="4602" max="4602" width="5.125" style="29" customWidth="1"/>
    <col min="4603" max="4603" width="15.5" style="29" customWidth="1"/>
    <col min="4604" max="4604" width="15.5" style="29" bestFit="1" customWidth="1"/>
    <col min="4605" max="4843" width="11" style="29"/>
    <col min="4844" max="4844" width="9.125" style="29" customWidth="1"/>
    <col min="4845" max="4845" width="8.5" style="29" customWidth="1"/>
    <col min="4846" max="4846" width="18.75" style="29" customWidth="1"/>
    <col min="4847" max="4847" width="7.75" style="29" customWidth="1"/>
    <col min="4848" max="4848" width="8.75" style="29" customWidth="1"/>
    <col min="4849" max="4849" width="9.5" style="29" customWidth="1"/>
    <col min="4850" max="4850" width="6.375" style="29" bestFit="1" customWidth="1"/>
    <col min="4851" max="4851" width="6.625" style="29" bestFit="1" customWidth="1"/>
    <col min="4852" max="4852" width="7.25" style="29" customWidth="1"/>
    <col min="4853" max="4853" width="7.5" style="29" customWidth="1"/>
    <col min="4854" max="4854" width="11.5" style="29" bestFit="1" customWidth="1"/>
    <col min="4855" max="4855" width="8.125" style="29" bestFit="1" customWidth="1"/>
    <col min="4856" max="4856" width="8.75" style="29" customWidth="1"/>
    <col min="4857" max="4857" width="11" style="29"/>
    <col min="4858" max="4858" width="5.125" style="29" customWidth="1"/>
    <col min="4859" max="4859" width="15.5" style="29" customWidth="1"/>
    <col min="4860" max="4860" width="15.5" style="29" bestFit="1" customWidth="1"/>
    <col min="4861" max="5099" width="11" style="29"/>
    <col min="5100" max="5100" width="9.125" style="29" customWidth="1"/>
    <col min="5101" max="5101" width="8.5" style="29" customWidth="1"/>
    <col min="5102" max="5102" width="18.75" style="29" customWidth="1"/>
    <col min="5103" max="5103" width="7.75" style="29" customWidth="1"/>
    <col min="5104" max="5104" width="8.75" style="29" customWidth="1"/>
    <col min="5105" max="5105" width="9.5" style="29" customWidth="1"/>
    <col min="5106" max="5106" width="6.375" style="29" bestFit="1" customWidth="1"/>
    <col min="5107" max="5107" width="6.625" style="29" bestFit="1" customWidth="1"/>
    <col min="5108" max="5108" width="7.25" style="29" customWidth="1"/>
    <col min="5109" max="5109" width="7.5" style="29" customWidth="1"/>
    <col min="5110" max="5110" width="11.5" style="29" bestFit="1" customWidth="1"/>
    <col min="5111" max="5111" width="8.125" style="29" bestFit="1" customWidth="1"/>
    <col min="5112" max="5112" width="8.75" style="29" customWidth="1"/>
    <col min="5113" max="5113" width="11" style="29"/>
    <col min="5114" max="5114" width="5.125" style="29" customWidth="1"/>
    <col min="5115" max="5115" width="15.5" style="29" customWidth="1"/>
    <col min="5116" max="5116" width="15.5" style="29" bestFit="1" customWidth="1"/>
    <col min="5117" max="5355" width="11" style="29"/>
    <col min="5356" max="5356" width="9.125" style="29" customWidth="1"/>
    <col min="5357" max="5357" width="8.5" style="29" customWidth="1"/>
    <col min="5358" max="5358" width="18.75" style="29" customWidth="1"/>
    <col min="5359" max="5359" width="7.75" style="29" customWidth="1"/>
    <col min="5360" max="5360" width="8.75" style="29" customWidth="1"/>
    <col min="5361" max="5361" width="9.5" style="29" customWidth="1"/>
    <col min="5362" max="5362" width="6.375" style="29" bestFit="1" customWidth="1"/>
    <col min="5363" max="5363" width="6.625" style="29" bestFit="1" customWidth="1"/>
    <col min="5364" max="5364" width="7.25" style="29" customWidth="1"/>
    <col min="5365" max="5365" width="7.5" style="29" customWidth="1"/>
    <col min="5366" max="5366" width="11.5" style="29" bestFit="1" customWidth="1"/>
    <col min="5367" max="5367" width="8.125" style="29" bestFit="1" customWidth="1"/>
    <col min="5368" max="5368" width="8.75" style="29" customWidth="1"/>
    <col min="5369" max="5369" width="11" style="29"/>
    <col min="5370" max="5370" width="5.125" style="29" customWidth="1"/>
    <col min="5371" max="5371" width="15.5" style="29" customWidth="1"/>
    <col min="5372" max="5372" width="15.5" style="29" bestFit="1" customWidth="1"/>
    <col min="5373" max="5611" width="11" style="29"/>
    <col min="5612" max="5612" width="9.125" style="29" customWidth="1"/>
    <col min="5613" max="5613" width="8.5" style="29" customWidth="1"/>
    <col min="5614" max="5614" width="18.75" style="29" customWidth="1"/>
    <col min="5615" max="5615" width="7.75" style="29" customWidth="1"/>
    <col min="5616" max="5616" width="8.75" style="29" customWidth="1"/>
    <col min="5617" max="5617" width="9.5" style="29" customWidth="1"/>
    <col min="5618" max="5618" width="6.375" style="29" bestFit="1" customWidth="1"/>
    <col min="5619" max="5619" width="6.625" style="29" bestFit="1" customWidth="1"/>
    <col min="5620" max="5620" width="7.25" style="29" customWidth="1"/>
    <col min="5621" max="5621" width="7.5" style="29" customWidth="1"/>
    <col min="5622" max="5622" width="11.5" style="29" bestFit="1" customWidth="1"/>
    <col min="5623" max="5623" width="8.125" style="29" bestFit="1" customWidth="1"/>
    <col min="5624" max="5624" width="8.75" style="29" customWidth="1"/>
    <col min="5625" max="5625" width="11" style="29"/>
    <col min="5626" max="5626" width="5.125" style="29" customWidth="1"/>
    <col min="5627" max="5627" width="15.5" style="29" customWidth="1"/>
    <col min="5628" max="5628" width="15.5" style="29" bestFit="1" customWidth="1"/>
    <col min="5629" max="5867" width="11" style="29"/>
    <col min="5868" max="5868" width="9.125" style="29" customWidth="1"/>
    <col min="5869" max="5869" width="8.5" style="29" customWidth="1"/>
    <col min="5870" max="5870" width="18.75" style="29" customWidth="1"/>
    <col min="5871" max="5871" width="7.75" style="29" customWidth="1"/>
    <col min="5872" max="5872" width="8.75" style="29" customWidth="1"/>
    <col min="5873" max="5873" width="9.5" style="29" customWidth="1"/>
    <col min="5874" max="5874" width="6.375" style="29" bestFit="1" customWidth="1"/>
    <col min="5875" max="5875" width="6.625" style="29" bestFit="1" customWidth="1"/>
    <col min="5876" max="5876" width="7.25" style="29" customWidth="1"/>
    <col min="5877" max="5877" width="7.5" style="29" customWidth="1"/>
    <col min="5878" max="5878" width="11.5" style="29" bestFit="1" customWidth="1"/>
    <col min="5879" max="5879" width="8.125" style="29" bestFit="1" customWidth="1"/>
    <col min="5880" max="5880" width="8.75" style="29" customWidth="1"/>
    <col min="5881" max="5881" width="11" style="29"/>
    <col min="5882" max="5882" width="5.125" style="29" customWidth="1"/>
    <col min="5883" max="5883" width="15.5" style="29" customWidth="1"/>
    <col min="5884" max="5884" width="15.5" style="29" bestFit="1" customWidth="1"/>
    <col min="5885" max="6123" width="11" style="29"/>
    <col min="6124" max="6124" width="9.125" style="29" customWidth="1"/>
    <col min="6125" max="6125" width="8.5" style="29" customWidth="1"/>
    <col min="6126" max="6126" width="18.75" style="29" customWidth="1"/>
    <col min="6127" max="6127" width="7.75" style="29" customWidth="1"/>
    <col min="6128" max="6128" width="8.75" style="29" customWidth="1"/>
    <col min="6129" max="6129" width="9.5" style="29" customWidth="1"/>
    <col min="6130" max="6130" width="6.375" style="29" bestFit="1" customWidth="1"/>
    <col min="6131" max="6131" width="6.625" style="29" bestFit="1" customWidth="1"/>
    <col min="6132" max="6132" width="7.25" style="29" customWidth="1"/>
    <col min="6133" max="6133" width="7.5" style="29" customWidth="1"/>
    <col min="6134" max="6134" width="11.5" style="29" bestFit="1" customWidth="1"/>
    <col min="6135" max="6135" width="8.125" style="29" bestFit="1" customWidth="1"/>
    <col min="6136" max="6136" width="8.75" style="29" customWidth="1"/>
    <col min="6137" max="6137" width="11" style="29"/>
    <col min="6138" max="6138" width="5.125" style="29" customWidth="1"/>
    <col min="6139" max="6139" width="15.5" style="29" customWidth="1"/>
    <col min="6140" max="6140" width="15.5" style="29" bestFit="1" customWidth="1"/>
    <col min="6141" max="6379" width="11" style="29"/>
    <col min="6380" max="6380" width="9.125" style="29" customWidth="1"/>
    <col min="6381" max="6381" width="8.5" style="29" customWidth="1"/>
    <col min="6382" max="6382" width="18.75" style="29" customWidth="1"/>
    <col min="6383" max="6383" width="7.75" style="29" customWidth="1"/>
    <col min="6384" max="6384" width="8.75" style="29" customWidth="1"/>
    <col min="6385" max="6385" width="9.5" style="29" customWidth="1"/>
    <col min="6386" max="6386" width="6.375" style="29" bestFit="1" customWidth="1"/>
    <col min="6387" max="6387" width="6.625" style="29" bestFit="1" customWidth="1"/>
    <col min="6388" max="6388" width="7.25" style="29" customWidth="1"/>
    <col min="6389" max="6389" width="7.5" style="29" customWidth="1"/>
    <col min="6390" max="6390" width="11.5" style="29" bestFit="1" customWidth="1"/>
    <col min="6391" max="6391" width="8.125" style="29" bestFit="1" customWidth="1"/>
    <col min="6392" max="6392" width="8.75" style="29" customWidth="1"/>
    <col min="6393" max="6393" width="11" style="29"/>
    <col min="6394" max="6394" width="5.125" style="29" customWidth="1"/>
    <col min="6395" max="6395" width="15.5" style="29" customWidth="1"/>
    <col min="6396" max="6396" width="15.5" style="29" bestFit="1" customWidth="1"/>
    <col min="6397" max="6635" width="11" style="29"/>
    <col min="6636" max="6636" width="9.125" style="29" customWidth="1"/>
    <col min="6637" max="6637" width="8.5" style="29" customWidth="1"/>
    <col min="6638" max="6638" width="18.75" style="29" customWidth="1"/>
    <col min="6639" max="6639" width="7.75" style="29" customWidth="1"/>
    <col min="6640" max="6640" width="8.75" style="29" customWidth="1"/>
    <col min="6641" max="6641" width="9.5" style="29" customWidth="1"/>
    <col min="6642" max="6642" width="6.375" style="29" bestFit="1" customWidth="1"/>
    <col min="6643" max="6643" width="6.625" style="29" bestFit="1" customWidth="1"/>
    <col min="6644" max="6644" width="7.25" style="29" customWidth="1"/>
    <col min="6645" max="6645" width="7.5" style="29" customWidth="1"/>
    <col min="6646" max="6646" width="11.5" style="29" bestFit="1" customWidth="1"/>
    <col min="6647" max="6647" width="8.125" style="29" bestFit="1" customWidth="1"/>
    <col min="6648" max="6648" width="8.75" style="29" customWidth="1"/>
    <col min="6649" max="6649" width="11" style="29"/>
    <col min="6650" max="6650" width="5.125" style="29" customWidth="1"/>
    <col min="6651" max="6651" width="15.5" style="29" customWidth="1"/>
    <col min="6652" max="6652" width="15.5" style="29" bestFit="1" customWidth="1"/>
    <col min="6653" max="6891" width="11" style="29"/>
    <col min="6892" max="6892" width="9.125" style="29" customWidth="1"/>
    <col min="6893" max="6893" width="8.5" style="29" customWidth="1"/>
    <col min="6894" max="6894" width="18.75" style="29" customWidth="1"/>
    <col min="6895" max="6895" width="7.75" style="29" customWidth="1"/>
    <col min="6896" max="6896" width="8.75" style="29" customWidth="1"/>
    <col min="6897" max="6897" width="9.5" style="29" customWidth="1"/>
    <col min="6898" max="6898" width="6.375" style="29" bestFit="1" customWidth="1"/>
    <col min="6899" max="6899" width="6.625" style="29" bestFit="1" customWidth="1"/>
    <col min="6900" max="6900" width="7.25" style="29" customWidth="1"/>
    <col min="6901" max="6901" width="7.5" style="29" customWidth="1"/>
    <col min="6902" max="6902" width="11.5" style="29" bestFit="1" customWidth="1"/>
    <col min="6903" max="6903" width="8.125" style="29" bestFit="1" customWidth="1"/>
    <col min="6904" max="6904" width="8.75" style="29" customWidth="1"/>
    <col min="6905" max="6905" width="11" style="29"/>
    <col min="6906" max="6906" width="5.125" style="29" customWidth="1"/>
    <col min="6907" max="6907" width="15.5" style="29" customWidth="1"/>
    <col min="6908" max="6908" width="15.5" style="29" bestFit="1" customWidth="1"/>
    <col min="6909" max="7147" width="11" style="29"/>
    <col min="7148" max="7148" width="9.125" style="29" customWidth="1"/>
    <col min="7149" max="7149" width="8.5" style="29" customWidth="1"/>
    <col min="7150" max="7150" width="18.75" style="29" customWidth="1"/>
    <col min="7151" max="7151" width="7.75" style="29" customWidth="1"/>
    <col min="7152" max="7152" width="8.75" style="29" customWidth="1"/>
    <col min="7153" max="7153" width="9.5" style="29" customWidth="1"/>
    <col min="7154" max="7154" width="6.375" style="29" bestFit="1" customWidth="1"/>
    <col min="7155" max="7155" width="6.625" style="29" bestFit="1" customWidth="1"/>
    <col min="7156" max="7156" width="7.25" style="29" customWidth="1"/>
    <col min="7157" max="7157" width="7.5" style="29" customWidth="1"/>
    <col min="7158" max="7158" width="11.5" style="29" bestFit="1" customWidth="1"/>
    <col min="7159" max="7159" width="8.125" style="29" bestFit="1" customWidth="1"/>
    <col min="7160" max="7160" width="8.75" style="29" customWidth="1"/>
    <col min="7161" max="7161" width="11" style="29"/>
    <col min="7162" max="7162" width="5.125" style="29" customWidth="1"/>
    <col min="7163" max="7163" width="15.5" style="29" customWidth="1"/>
    <col min="7164" max="7164" width="15.5" style="29" bestFit="1" customWidth="1"/>
    <col min="7165" max="7403" width="11" style="29"/>
    <col min="7404" max="7404" width="9.125" style="29" customWidth="1"/>
    <col min="7405" max="7405" width="8.5" style="29" customWidth="1"/>
    <col min="7406" max="7406" width="18.75" style="29" customWidth="1"/>
    <col min="7407" max="7407" width="7.75" style="29" customWidth="1"/>
    <col min="7408" max="7408" width="8.75" style="29" customWidth="1"/>
    <col min="7409" max="7409" width="9.5" style="29" customWidth="1"/>
    <col min="7410" max="7410" width="6.375" style="29" bestFit="1" customWidth="1"/>
    <col min="7411" max="7411" width="6.625" style="29" bestFit="1" customWidth="1"/>
    <col min="7412" max="7412" width="7.25" style="29" customWidth="1"/>
    <col min="7413" max="7413" width="7.5" style="29" customWidth="1"/>
    <col min="7414" max="7414" width="11.5" style="29" bestFit="1" customWidth="1"/>
    <col min="7415" max="7415" width="8.125" style="29" bestFit="1" customWidth="1"/>
    <col min="7416" max="7416" width="8.75" style="29" customWidth="1"/>
    <col min="7417" max="7417" width="11" style="29"/>
    <col min="7418" max="7418" width="5.125" style="29" customWidth="1"/>
    <col min="7419" max="7419" width="15.5" style="29" customWidth="1"/>
    <col min="7420" max="7420" width="15.5" style="29" bestFit="1" customWidth="1"/>
    <col min="7421" max="7659" width="11" style="29"/>
    <col min="7660" max="7660" width="9.125" style="29" customWidth="1"/>
    <col min="7661" max="7661" width="8.5" style="29" customWidth="1"/>
    <col min="7662" max="7662" width="18.75" style="29" customWidth="1"/>
    <col min="7663" max="7663" width="7.75" style="29" customWidth="1"/>
    <col min="7664" max="7664" width="8.75" style="29" customWidth="1"/>
    <col min="7665" max="7665" width="9.5" style="29" customWidth="1"/>
    <col min="7666" max="7666" width="6.375" style="29" bestFit="1" customWidth="1"/>
    <col min="7667" max="7667" width="6.625" style="29" bestFit="1" customWidth="1"/>
    <col min="7668" max="7668" width="7.25" style="29" customWidth="1"/>
    <col min="7669" max="7669" width="7.5" style="29" customWidth="1"/>
    <col min="7670" max="7670" width="11.5" style="29" bestFit="1" customWidth="1"/>
    <col min="7671" max="7671" width="8.125" style="29" bestFit="1" customWidth="1"/>
    <col min="7672" max="7672" width="8.75" style="29" customWidth="1"/>
    <col min="7673" max="7673" width="11" style="29"/>
    <col min="7674" max="7674" width="5.125" style="29" customWidth="1"/>
    <col min="7675" max="7675" width="15.5" style="29" customWidth="1"/>
    <col min="7676" max="7676" width="15.5" style="29" bestFit="1" customWidth="1"/>
    <col min="7677" max="7915" width="11" style="29"/>
    <col min="7916" max="7916" width="9.125" style="29" customWidth="1"/>
    <col min="7917" max="7917" width="8.5" style="29" customWidth="1"/>
    <col min="7918" max="7918" width="18.75" style="29" customWidth="1"/>
    <col min="7919" max="7919" width="7.75" style="29" customWidth="1"/>
    <col min="7920" max="7920" width="8.75" style="29" customWidth="1"/>
    <col min="7921" max="7921" width="9.5" style="29" customWidth="1"/>
    <col min="7922" max="7922" width="6.375" style="29" bestFit="1" customWidth="1"/>
    <col min="7923" max="7923" width="6.625" style="29" bestFit="1" customWidth="1"/>
    <col min="7924" max="7924" width="7.25" style="29" customWidth="1"/>
    <col min="7925" max="7925" width="7.5" style="29" customWidth="1"/>
    <col min="7926" max="7926" width="11.5" style="29" bestFit="1" customWidth="1"/>
    <col min="7927" max="7927" width="8.125" style="29" bestFit="1" customWidth="1"/>
    <col min="7928" max="7928" width="8.75" style="29" customWidth="1"/>
    <col min="7929" max="7929" width="11" style="29"/>
    <col min="7930" max="7930" width="5.125" style="29" customWidth="1"/>
    <col min="7931" max="7931" width="15.5" style="29" customWidth="1"/>
    <col min="7932" max="7932" width="15.5" style="29" bestFit="1" customWidth="1"/>
    <col min="7933" max="8171" width="11" style="29"/>
    <col min="8172" max="8172" width="9.125" style="29" customWidth="1"/>
    <col min="8173" max="8173" width="8.5" style="29" customWidth="1"/>
    <col min="8174" max="8174" width="18.75" style="29" customWidth="1"/>
    <col min="8175" max="8175" width="7.75" style="29" customWidth="1"/>
    <col min="8176" max="8176" width="8.75" style="29" customWidth="1"/>
    <col min="8177" max="8177" width="9.5" style="29" customWidth="1"/>
    <col min="8178" max="8178" width="6.375" style="29" bestFit="1" customWidth="1"/>
    <col min="8179" max="8179" width="6.625" style="29" bestFit="1" customWidth="1"/>
    <col min="8180" max="8180" width="7.25" style="29" customWidth="1"/>
    <col min="8181" max="8181" width="7.5" style="29" customWidth="1"/>
    <col min="8182" max="8182" width="11.5" style="29" bestFit="1" customWidth="1"/>
    <col min="8183" max="8183" width="8.125" style="29" bestFit="1" customWidth="1"/>
    <col min="8184" max="8184" width="8.75" style="29" customWidth="1"/>
    <col min="8185" max="8185" width="11" style="29"/>
    <col min="8186" max="8186" width="5.125" style="29" customWidth="1"/>
    <col min="8187" max="8187" width="15.5" style="29" customWidth="1"/>
    <col min="8188" max="8188" width="15.5" style="29" bestFit="1" customWidth="1"/>
    <col min="8189" max="8427" width="11" style="29"/>
    <col min="8428" max="8428" width="9.125" style="29" customWidth="1"/>
    <col min="8429" max="8429" width="8.5" style="29" customWidth="1"/>
    <col min="8430" max="8430" width="18.75" style="29" customWidth="1"/>
    <col min="8431" max="8431" width="7.75" style="29" customWidth="1"/>
    <col min="8432" max="8432" width="8.75" style="29" customWidth="1"/>
    <col min="8433" max="8433" width="9.5" style="29" customWidth="1"/>
    <col min="8434" max="8434" width="6.375" style="29" bestFit="1" customWidth="1"/>
    <col min="8435" max="8435" width="6.625" style="29" bestFit="1" customWidth="1"/>
    <col min="8436" max="8436" width="7.25" style="29" customWidth="1"/>
    <col min="8437" max="8437" width="7.5" style="29" customWidth="1"/>
    <col min="8438" max="8438" width="11.5" style="29" bestFit="1" customWidth="1"/>
    <col min="8439" max="8439" width="8.125" style="29" bestFit="1" customWidth="1"/>
    <col min="8440" max="8440" width="8.75" style="29" customWidth="1"/>
    <col min="8441" max="8441" width="11" style="29"/>
    <col min="8442" max="8442" width="5.125" style="29" customWidth="1"/>
    <col min="8443" max="8443" width="15.5" style="29" customWidth="1"/>
    <col min="8444" max="8444" width="15.5" style="29" bestFit="1" customWidth="1"/>
    <col min="8445" max="8683" width="11" style="29"/>
    <col min="8684" max="8684" width="9.125" style="29" customWidth="1"/>
    <col min="8685" max="8685" width="8.5" style="29" customWidth="1"/>
    <col min="8686" max="8686" width="18.75" style="29" customWidth="1"/>
    <col min="8687" max="8687" width="7.75" style="29" customWidth="1"/>
    <col min="8688" max="8688" width="8.75" style="29" customWidth="1"/>
    <col min="8689" max="8689" width="9.5" style="29" customWidth="1"/>
    <col min="8690" max="8690" width="6.375" style="29" bestFit="1" customWidth="1"/>
    <col min="8691" max="8691" width="6.625" style="29" bestFit="1" customWidth="1"/>
    <col min="8692" max="8692" width="7.25" style="29" customWidth="1"/>
    <col min="8693" max="8693" width="7.5" style="29" customWidth="1"/>
    <col min="8694" max="8694" width="11.5" style="29" bestFit="1" customWidth="1"/>
    <col min="8695" max="8695" width="8.125" style="29" bestFit="1" customWidth="1"/>
    <col min="8696" max="8696" width="8.75" style="29" customWidth="1"/>
    <col min="8697" max="8697" width="11" style="29"/>
    <col min="8698" max="8698" width="5.125" style="29" customWidth="1"/>
    <col min="8699" max="8699" width="15.5" style="29" customWidth="1"/>
    <col min="8700" max="8700" width="15.5" style="29" bestFit="1" customWidth="1"/>
    <col min="8701" max="8939" width="11" style="29"/>
    <col min="8940" max="8940" width="9.125" style="29" customWidth="1"/>
    <col min="8941" max="8941" width="8.5" style="29" customWidth="1"/>
    <col min="8942" max="8942" width="18.75" style="29" customWidth="1"/>
    <col min="8943" max="8943" width="7.75" style="29" customWidth="1"/>
    <col min="8944" max="8944" width="8.75" style="29" customWidth="1"/>
    <col min="8945" max="8945" width="9.5" style="29" customWidth="1"/>
    <col min="8946" max="8946" width="6.375" style="29" bestFit="1" customWidth="1"/>
    <col min="8947" max="8947" width="6.625" style="29" bestFit="1" customWidth="1"/>
    <col min="8948" max="8948" width="7.25" style="29" customWidth="1"/>
    <col min="8949" max="8949" width="7.5" style="29" customWidth="1"/>
    <col min="8950" max="8950" width="11.5" style="29" bestFit="1" customWidth="1"/>
    <col min="8951" max="8951" width="8.125" style="29" bestFit="1" customWidth="1"/>
    <col min="8952" max="8952" width="8.75" style="29" customWidth="1"/>
    <col min="8953" max="8953" width="11" style="29"/>
    <col min="8954" max="8954" width="5.125" style="29" customWidth="1"/>
    <col min="8955" max="8955" width="15.5" style="29" customWidth="1"/>
    <col min="8956" max="8956" width="15.5" style="29" bestFit="1" customWidth="1"/>
    <col min="8957" max="9195" width="11" style="29"/>
    <col min="9196" max="9196" width="9.125" style="29" customWidth="1"/>
    <col min="9197" max="9197" width="8.5" style="29" customWidth="1"/>
    <col min="9198" max="9198" width="18.75" style="29" customWidth="1"/>
    <col min="9199" max="9199" width="7.75" style="29" customWidth="1"/>
    <col min="9200" max="9200" width="8.75" style="29" customWidth="1"/>
    <col min="9201" max="9201" width="9.5" style="29" customWidth="1"/>
    <col min="9202" max="9202" width="6.375" style="29" bestFit="1" customWidth="1"/>
    <col min="9203" max="9203" width="6.625" style="29" bestFit="1" customWidth="1"/>
    <col min="9204" max="9204" width="7.25" style="29" customWidth="1"/>
    <col min="9205" max="9205" width="7.5" style="29" customWidth="1"/>
    <col min="9206" max="9206" width="11.5" style="29" bestFit="1" customWidth="1"/>
    <col min="9207" max="9207" width="8.125" style="29" bestFit="1" customWidth="1"/>
    <col min="9208" max="9208" width="8.75" style="29" customWidth="1"/>
    <col min="9209" max="9209" width="11" style="29"/>
    <col min="9210" max="9210" width="5.125" style="29" customWidth="1"/>
    <col min="9211" max="9211" width="15.5" style="29" customWidth="1"/>
    <col min="9212" max="9212" width="15.5" style="29" bestFit="1" customWidth="1"/>
    <col min="9213" max="9451" width="11" style="29"/>
    <col min="9452" max="9452" width="9.125" style="29" customWidth="1"/>
    <col min="9453" max="9453" width="8.5" style="29" customWidth="1"/>
    <col min="9454" max="9454" width="18.75" style="29" customWidth="1"/>
    <col min="9455" max="9455" width="7.75" style="29" customWidth="1"/>
    <col min="9456" max="9456" width="8.75" style="29" customWidth="1"/>
    <col min="9457" max="9457" width="9.5" style="29" customWidth="1"/>
    <col min="9458" max="9458" width="6.375" style="29" bestFit="1" customWidth="1"/>
    <col min="9459" max="9459" width="6.625" style="29" bestFit="1" customWidth="1"/>
    <col min="9460" max="9460" width="7.25" style="29" customWidth="1"/>
    <col min="9461" max="9461" width="7.5" style="29" customWidth="1"/>
    <col min="9462" max="9462" width="11.5" style="29" bestFit="1" customWidth="1"/>
    <col min="9463" max="9463" width="8.125" style="29" bestFit="1" customWidth="1"/>
    <col min="9464" max="9464" width="8.75" style="29" customWidth="1"/>
    <col min="9465" max="9465" width="11" style="29"/>
    <col min="9466" max="9466" width="5.125" style="29" customWidth="1"/>
    <col min="9467" max="9467" width="15.5" style="29" customWidth="1"/>
    <col min="9468" max="9468" width="15.5" style="29" bestFit="1" customWidth="1"/>
    <col min="9469" max="9707" width="11" style="29"/>
    <col min="9708" max="9708" width="9.125" style="29" customWidth="1"/>
    <col min="9709" max="9709" width="8.5" style="29" customWidth="1"/>
    <col min="9710" max="9710" width="18.75" style="29" customWidth="1"/>
    <col min="9711" max="9711" width="7.75" style="29" customWidth="1"/>
    <col min="9712" max="9712" width="8.75" style="29" customWidth="1"/>
    <col min="9713" max="9713" width="9.5" style="29" customWidth="1"/>
    <col min="9714" max="9714" width="6.375" style="29" bestFit="1" customWidth="1"/>
    <col min="9715" max="9715" width="6.625" style="29" bestFit="1" customWidth="1"/>
    <col min="9716" max="9716" width="7.25" style="29" customWidth="1"/>
    <col min="9717" max="9717" width="7.5" style="29" customWidth="1"/>
    <col min="9718" max="9718" width="11.5" style="29" bestFit="1" customWidth="1"/>
    <col min="9719" max="9719" width="8.125" style="29" bestFit="1" customWidth="1"/>
    <col min="9720" max="9720" width="8.75" style="29" customWidth="1"/>
    <col min="9721" max="9721" width="11" style="29"/>
    <col min="9722" max="9722" width="5.125" style="29" customWidth="1"/>
    <col min="9723" max="9723" width="15.5" style="29" customWidth="1"/>
    <col min="9724" max="9724" width="15.5" style="29" bestFit="1" customWidth="1"/>
    <col min="9725" max="9963" width="11" style="29"/>
    <col min="9964" max="9964" width="9.125" style="29" customWidth="1"/>
    <col min="9965" max="9965" width="8.5" style="29" customWidth="1"/>
    <col min="9966" max="9966" width="18.75" style="29" customWidth="1"/>
    <col min="9967" max="9967" width="7.75" style="29" customWidth="1"/>
    <col min="9968" max="9968" width="8.75" style="29" customWidth="1"/>
    <col min="9969" max="9969" width="9.5" style="29" customWidth="1"/>
    <col min="9970" max="9970" width="6.375" style="29" bestFit="1" customWidth="1"/>
    <col min="9971" max="9971" width="6.625" style="29" bestFit="1" customWidth="1"/>
    <col min="9972" max="9972" width="7.25" style="29" customWidth="1"/>
    <col min="9973" max="9973" width="7.5" style="29" customWidth="1"/>
    <col min="9974" max="9974" width="11.5" style="29" bestFit="1" customWidth="1"/>
    <col min="9975" max="9975" width="8.125" style="29" bestFit="1" customWidth="1"/>
    <col min="9976" max="9976" width="8.75" style="29" customWidth="1"/>
    <col min="9977" max="9977" width="11" style="29"/>
    <col min="9978" max="9978" width="5.125" style="29" customWidth="1"/>
    <col min="9979" max="9979" width="15.5" style="29" customWidth="1"/>
    <col min="9980" max="9980" width="15.5" style="29" bestFit="1" customWidth="1"/>
    <col min="9981" max="10219" width="11" style="29"/>
    <col min="10220" max="10220" width="9.125" style="29" customWidth="1"/>
    <col min="10221" max="10221" width="8.5" style="29" customWidth="1"/>
    <col min="10222" max="10222" width="18.75" style="29" customWidth="1"/>
    <col min="10223" max="10223" width="7.75" style="29" customWidth="1"/>
    <col min="10224" max="10224" width="8.75" style="29" customWidth="1"/>
    <col min="10225" max="10225" width="9.5" style="29" customWidth="1"/>
    <col min="10226" max="10226" width="6.375" style="29" bestFit="1" customWidth="1"/>
    <col min="10227" max="10227" width="6.625" style="29" bestFit="1" customWidth="1"/>
    <col min="10228" max="10228" width="7.25" style="29" customWidth="1"/>
    <col min="10229" max="10229" width="7.5" style="29" customWidth="1"/>
    <col min="10230" max="10230" width="11.5" style="29" bestFit="1" customWidth="1"/>
    <col min="10231" max="10231" width="8.125" style="29" bestFit="1" customWidth="1"/>
    <col min="10232" max="10232" width="8.75" style="29" customWidth="1"/>
    <col min="10233" max="10233" width="11" style="29"/>
    <col min="10234" max="10234" width="5.125" style="29" customWidth="1"/>
    <col min="10235" max="10235" width="15.5" style="29" customWidth="1"/>
    <col min="10236" max="10236" width="15.5" style="29" bestFit="1" customWidth="1"/>
    <col min="10237" max="10475" width="11" style="29"/>
    <col min="10476" max="10476" width="9.125" style="29" customWidth="1"/>
    <col min="10477" max="10477" width="8.5" style="29" customWidth="1"/>
    <col min="10478" max="10478" width="18.75" style="29" customWidth="1"/>
    <col min="10479" max="10479" width="7.75" style="29" customWidth="1"/>
    <col min="10480" max="10480" width="8.75" style="29" customWidth="1"/>
    <col min="10481" max="10481" width="9.5" style="29" customWidth="1"/>
    <col min="10482" max="10482" width="6.375" style="29" bestFit="1" customWidth="1"/>
    <col min="10483" max="10483" width="6.625" style="29" bestFit="1" customWidth="1"/>
    <col min="10484" max="10484" width="7.25" style="29" customWidth="1"/>
    <col min="10485" max="10485" width="7.5" style="29" customWidth="1"/>
    <col min="10486" max="10486" width="11.5" style="29" bestFit="1" customWidth="1"/>
    <col min="10487" max="10487" width="8.125" style="29" bestFit="1" customWidth="1"/>
    <col min="10488" max="10488" width="8.75" style="29" customWidth="1"/>
    <col min="10489" max="10489" width="11" style="29"/>
    <col min="10490" max="10490" width="5.125" style="29" customWidth="1"/>
    <col min="10491" max="10491" width="15.5" style="29" customWidth="1"/>
    <col min="10492" max="10492" width="15.5" style="29" bestFit="1" customWidth="1"/>
    <col min="10493" max="10731" width="11" style="29"/>
    <col min="10732" max="10732" width="9.125" style="29" customWidth="1"/>
    <col min="10733" max="10733" width="8.5" style="29" customWidth="1"/>
    <col min="10734" max="10734" width="18.75" style="29" customWidth="1"/>
    <col min="10735" max="10735" width="7.75" style="29" customWidth="1"/>
    <col min="10736" max="10736" width="8.75" style="29" customWidth="1"/>
    <col min="10737" max="10737" width="9.5" style="29" customWidth="1"/>
    <col min="10738" max="10738" width="6.375" style="29" bestFit="1" customWidth="1"/>
    <col min="10739" max="10739" width="6.625" style="29" bestFit="1" customWidth="1"/>
    <col min="10740" max="10740" width="7.25" style="29" customWidth="1"/>
    <col min="10741" max="10741" width="7.5" style="29" customWidth="1"/>
    <col min="10742" max="10742" width="11.5" style="29" bestFit="1" customWidth="1"/>
    <col min="10743" max="10743" width="8.125" style="29" bestFit="1" customWidth="1"/>
    <col min="10744" max="10744" width="8.75" style="29" customWidth="1"/>
    <col min="10745" max="10745" width="11" style="29"/>
    <col min="10746" max="10746" width="5.125" style="29" customWidth="1"/>
    <col min="10747" max="10747" width="15.5" style="29" customWidth="1"/>
    <col min="10748" max="10748" width="15.5" style="29" bestFit="1" customWidth="1"/>
    <col min="10749" max="10987" width="11" style="29"/>
    <col min="10988" max="10988" width="9.125" style="29" customWidth="1"/>
    <col min="10989" max="10989" width="8.5" style="29" customWidth="1"/>
    <col min="10990" max="10990" width="18.75" style="29" customWidth="1"/>
    <col min="10991" max="10991" width="7.75" style="29" customWidth="1"/>
    <col min="10992" max="10992" width="8.75" style="29" customWidth="1"/>
    <col min="10993" max="10993" width="9.5" style="29" customWidth="1"/>
    <col min="10994" max="10994" width="6.375" style="29" bestFit="1" customWidth="1"/>
    <col min="10995" max="10995" width="6.625" style="29" bestFit="1" customWidth="1"/>
    <col min="10996" max="10996" width="7.25" style="29" customWidth="1"/>
    <col min="10997" max="10997" width="7.5" style="29" customWidth="1"/>
    <col min="10998" max="10998" width="11.5" style="29" bestFit="1" customWidth="1"/>
    <col min="10999" max="10999" width="8.125" style="29" bestFit="1" customWidth="1"/>
    <col min="11000" max="11000" width="8.75" style="29" customWidth="1"/>
    <col min="11001" max="11001" width="11" style="29"/>
    <col min="11002" max="11002" width="5.125" style="29" customWidth="1"/>
    <col min="11003" max="11003" width="15.5" style="29" customWidth="1"/>
    <col min="11004" max="11004" width="15.5" style="29" bestFit="1" customWidth="1"/>
    <col min="11005" max="11243" width="11" style="29"/>
    <col min="11244" max="11244" width="9.125" style="29" customWidth="1"/>
    <col min="11245" max="11245" width="8.5" style="29" customWidth="1"/>
    <col min="11246" max="11246" width="18.75" style="29" customWidth="1"/>
    <col min="11247" max="11247" width="7.75" style="29" customWidth="1"/>
    <col min="11248" max="11248" width="8.75" style="29" customWidth="1"/>
    <col min="11249" max="11249" width="9.5" style="29" customWidth="1"/>
    <col min="11250" max="11250" width="6.375" style="29" bestFit="1" customWidth="1"/>
    <col min="11251" max="11251" width="6.625" style="29" bestFit="1" customWidth="1"/>
    <col min="11252" max="11252" width="7.25" style="29" customWidth="1"/>
    <col min="11253" max="11253" width="7.5" style="29" customWidth="1"/>
    <col min="11254" max="11254" width="11.5" style="29" bestFit="1" customWidth="1"/>
    <col min="11255" max="11255" width="8.125" style="29" bestFit="1" customWidth="1"/>
    <col min="11256" max="11256" width="8.75" style="29" customWidth="1"/>
    <col min="11257" max="11257" width="11" style="29"/>
    <col min="11258" max="11258" width="5.125" style="29" customWidth="1"/>
    <col min="11259" max="11259" width="15.5" style="29" customWidth="1"/>
    <col min="11260" max="11260" width="15.5" style="29" bestFit="1" customWidth="1"/>
    <col min="11261" max="11499" width="11" style="29"/>
    <col min="11500" max="11500" width="9.125" style="29" customWidth="1"/>
    <col min="11501" max="11501" width="8.5" style="29" customWidth="1"/>
    <col min="11502" max="11502" width="18.75" style="29" customWidth="1"/>
    <col min="11503" max="11503" width="7.75" style="29" customWidth="1"/>
    <col min="11504" max="11504" width="8.75" style="29" customWidth="1"/>
    <col min="11505" max="11505" width="9.5" style="29" customWidth="1"/>
    <col min="11506" max="11506" width="6.375" style="29" bestFit="1" customWidth="1"/>
    <col min="11507" max="11507" width="6.625" style="29" bestFit="1" customWidth="1"/>
    <col min="11508" max="11508" width="7.25" style="29" customWidth="1"/>
    <col min="11509" max="11509" width="7.5" style="29" customWidth="1"/>
    <col min="11510" max="11510" width="11.5" style="29" bestFit="1" customWidth="1"/>
    <col min="11511" max="11511" width="8.125" style="29" bestFit="1" customWidth="1"/>
    <col min="11512" max="11512" width="8.75" style="29" customWidth="1"/>
    <col min="11513" max="11513" width="11" style="29"/>
    <col min="11514" max="11514" width="5.125" style="29" customWidth="1"/>
    <col min="11515" max="11515" width="15.5" style="29" customWidth="1"/>
    <col min="11516" max="11516" width="15.5" style="29" bestFit="1" customWidth="1"/>
    <col min="11517" max="11755" width="11" style="29"/>
    <col min="11756" max="11756" width="9.125" style="29" customWidth="1"/>
    <col min="11757" max="11757" width="8.5" style="29" customWidth="1"/>
    <col min="11758" max="11758" width="18.75" style="29" customWidth="1"/>
    <col min="11759" max="11759" width="7.75" style="29" customWidth="1"/>
    <col min="11760" max="11760" width="8.75" style="29" customWidth="1"/>
    <col min="11761" max="11761" width="9.5" style="29" customWidth="1"/>
    <col min="11762" max="11762" width="6.375" style="29" bestFit="1" customWidth="1"/>
    <col min="11763" max="11763" width="6.625" style="29" bestFit="1" customWidth="1"/>
    <col min="11764" max="11764" width="7.25" style="29" customWidth="1"/>
    <col min="11765" max="11765" width="7.5" style="29" customWidth="1"/>
    <col min="11766" max="11766" width="11.5" style="29" bestFit="1" customWidth="1"/>
    <col min="11767" max="11767" width="8.125" style="29" bestFit="1" customWidth="1"/>
    <col min="11768" max="11768" width="8.75" style="29" customWidth="1"/>
    <col min="11769" max="11769" width="11" style="29"/>
    <col min="11770" max="11770" width="5.125" style="29" customWidth="1"/>
    <col min="11771" max="11771" width="15.5" style="29" customWidth="1"/>
    <col min="11772" max="11772" width="15.5" style="29" bestFit="1" customWidth="1"/>
    <col min="11773" max="12011" width="11" style="29"/>
    <col min="12012" max="12012" width="9.125" style="29" customWidth="1"/>
    <col min="12013" max="12013" width="8.5" style="29" customWidth="1"/>
    <col min="12014" max="12014" width="18.75" style="29" customWidth="1"/>
    <col min="12015" max="12015" width="7.75" style="29" customWidth="1"/>
    <col min="12016" max="12016" width="8.75" style="29" customWidth="1"/>
    <col min="12017" max="12017" width="9.5" style="29" customWidth="1"/>
    <col min="12018" max="12018" width="6.375" style="29" bestFit="1" customWidth="1"/>
    <col min="12019" max="12019" width="6.625" style="29" bestFit="1" customWidth="1"/>
    <col min="12020" max="12020" width="7.25" style="29" customWidth="1"/>
    <col min="12021" max="12021" width="7.5" style="29" customWidth="1"/>
    <col min="12022" max="12022" width="11.5" style="29" bestFit="1" customWidth="1"/>
    <col min="12023" max="12023" width="8.125" style="29" bestFit="1" customWidth="1"/>
    <col min="12024" max="12024" width="8.75" style="29" customWidth="1"/>
    <col min="12025" max="12025" width="11" style="29"/>
    <col min="12026" max="12026" width="5.125" style="29" customWidth="1"/>
    <col min="12027" max="12027" width="15.5" style="29" customWidth="1"/>
    <col min="12028" max="12028" width="15.5" style="29" bestFit="1" customWidth="1"/>
    <col min="12029" max="12267" width="11" style="29"/>
    <col min="12268" max="12268" width="9.125" style="29" customWidth="1"/>
    <col min="12269" max="12269" width="8.5" style="29" customWidth="1"/>
    <col min="12270" max="12270" width="18.75" style="29" customWidth="1"/>
    <col min="12271" max="12271" width="7.75" style="29" customWidth="1"/>
    <col min="12272" max="12272" width="8.75" style="29" customWidth="1"/>
    <col min="12273" max="12273" width="9.5" style="29" customWidth="1"/>
    <col min="12274" max="12274" width="6.375" style="29" bestFit="1" customWidth="1"/>
    <col min="12275" max="12275" width="6.625" style="29" bestFit="1" customWidth="1"/>
    <col min="12276" max="12276" width="7.25" style="29" customWidth="1"/>
    <col min="12277" max="12277" width="7.5" style="29" customWidth="1"/>
    <col min="12278" max="12278" width="11.5" style="29" bestFit="1" customWidth="1"/>
    <col min="12279" max="12279" width="8.125" style="29" bestFit="1" customWidth="1"/>
    <col min="12280" max="12280" width="8.75" style="29" customWidth="1"/>
    <col min="12281" max="12281" width="11" style="29"/>
    <col min="12282" max="12282" width="5.125" style="29" customWidth="1"/>
    <col min="12283" max="12283" width="15.5" style="29" customWidth="1"/>
    <col min="12284" max="12284" width="15.5" style="29" bestFit="1" customWidth="1"/>
    <col min="12285" max="12523" width="11" style="29"/>
    <col min="12524" max="12524" width="9.125" style="29" customWidth="1"/>
    <col min="12525" max="12525" width="8.5" style="29" customWidth="1"/>
    <col min="12526" max="12526" width="18.75" style="29" customWidth="1"/>
    <col min="12527" max="12527" width="7.75" style="29" customWidth="1"/>
    <col min="12528" max="12528" width="8.75" style="29" customWidth="1"/>
    <col min="12529" max="12529" width="9.5" style="29" customWidth="1"/>
    <col min="12530" max="12530" width="6.375" style="29" bestFit="1" customWidth="1"/>
    <col min="12531" max="12531" width="6.625" style="29" bestFit="1" customWidth="1"/>
    <col min="12532" max="12532" width="7.25" style="29" customWidth="1"/>
    <col min="12533" max="12533" width="7.5" style="29" customWidth="1"/>
    <col min="12534" max="12534" width="11.5" style="29" bestFit="1" customWidth="1"/>
    <col min="12535" max="12535" width="8.125" style="29" bestFit="1" customWidth="1"/>
    <col min="12536" max="12536" width="8.75" style="29" customWidth="1"/>
    <col min="12537" max="12537" width="11" style="29"/>
    <col min="12538" max="12538" width="5.125" style="29" customWidth="1"/>
    <col min="12539" max="12539" width="15.5" style="29" customWidth="1"/>
    <col min="12540" max="12540" width="15.5" style="29" bestFit="1" customWidth="1"/>
    <col min="12541" max="12779" width="11" style="29"/>
    <col min="12780" max="12780" width="9.125" style="29" customWidth="1"/>
    <col min="12781" max="12781" width="8.5" style="29" customWidth="1"/>
    <col min="12782" max="12782" width="18.75" style="29" customWidth="1"/>
    <col min="12783" max="12783" width="7.75" style="29" customWidth="1"/>
    <col min="12784" max="12784" width="8.75" style="29" customWidth="1"/>
    <col min="12785" max="12785" width="9.5" style="29" customWidth="1"/>
    <col min="12786" max="12786" width="6.375" style="29" bestFit="1" customWidth="1"/>
    <col min="12787" max="12787" width="6.625" style="29" bestFit="1" customWidth="1"/>
    <col min="12788" max="12788" width="7.25" style="29" customWidth="1"/>
    <col min="12789" max="12789" width="7.5" style="29" customWidth="1"/>
    <col min="12790" max="12790" width="11.5" style="29" bestFit="1" customWidth="1"/>
    <col min="12791" max="12791" width="8.125" style="29" bestFit="1" customWidth="1"/>
    <col min="12792" max="12792" width="8.75" style="29" customWidth="1"/>
    <col min="12793" max="12793" width="11" style="29"/>
    <col min="12794" max="12794" width="5.125" style="29" customWidth="1"/>
    <col min="12795" max="12795" width="15.5" style="29" customWidth="1"/>
    <col min="12796" max="12796" width="15.5" style="29" bestFit="1" customWidth="1"/>
    <col min="12797" max="13035" width="11" style="29"/>
    <col min="13036" max="13036" width="9.125" style="29" customWidth="1"/>
    <col min="13037" max="13037" width="8.5" style="29" customWidth="1"/>
    <col min="13038" max="13038" width="18.75" style="29" customWidth="1"/>
    <col min="13039" max="13039" width="7.75" style="29" customWidth="1"/>
    <col min="13040" max="13040" width="8.75" style="29" customWidth="1"/>
    <col min="13041" max="13041" width="9.5" style="29" customWidth="1"/>
    <col min="13042" max="13042" width="6.375" style="29" bestFit="1" customWidth="1"/>
    <col min="13043" max="13043" width="6.625" style="29" bestFit="1" customWidth="1"/>
    <col min="13044" max="13044" width="7.25" style="29" customWidth="1"/>
    <col min="13045" max="13045" width="7.5" style="29" customWidth="1"/>
    <col min="13046" max="13046" width="11.5" style="29" bestFit="1" customWidth="1"/>
    <col min="13047" max="13047" width="8.125" style="29" bestFit="1" customWidth="1"/>
    <col min="13048" max="13048" width="8.75" style="29" customWidth="1"/>
    <col min="13049" max="13049" width="11" style="29"/>
    <col min="13050" max="13050" width="5.125" style="29" customWidth="1"/>
    <col min="13051" max="13051" width="15.5" style="29" customWidth="1"/>
    <col min="13052" max="13052" width="15.5" style="29" bestFit="1" customWidth="1"/>
    <col min="13053" max="13291" width="11" style="29"/>
    <col min="13292" max="13292" width="9.125" style="29" customWidth="1"/>
    <col min="13293" max="13293" width="8.5" style="29" customWidth="1"/>
    <col min="13294" max="13294" width="18.75" style="29" customWidth="1"/>
    <col min="13295" max="13295" width="7.75" style="29" customWidth="1"/>
    <col min="13296" max="13296" width="8.75" style="29" customWidth="1"/>
    <col min="13297" max="13297" width="9.5" style="29" customWidth="1"/>
    <col min="13298" max="13298" width="6.375" style="29" bestFit="1" customWidth="1"/>
    <col min="13299" max="13299" width="6.625" style="29" bestFit="1" customWidth="1"/>
    <col min="13300" max="13300" width="7.25" style="29" customWidth="1"/>
    <col min="13301" max="13301" width="7.5" style="29" customWidth="1"/>
    <col min="13302" max="13302" width="11.5" style="29" bestFit="1" customWidth="1"/>
    <col min="13303" max="13303" width="8.125" style="29" bestFit="1" customWidth="1"/>
    <col min="13304" max="13304" width="8.75" style="29" customWidth="1"/>
    <col min="13305" max="13305" width="11" style="29"/>
    <col min="13306" max="13306" width="5.125" style="29" customWidth="1"/>
    <col min="13307" max="13307" width="15.5" style="29" customWidth="1"/>
    <col min="13308" max="13308" width="15.5" style="29" bestFit="1" customWidth="1"/>
    <col min="13309" max="13547" width="11" style="29"/>
    <col min="13548" max="13548" width="9.125" style="29" customWidth="1"/>
    <col min="13549" max="13549" width="8.5" style="29" customWidth="1"/>
    <col min="13550" max="13550" width="18.75" style="29" customWidth="1"/>
    <col min="13551" max="13551" width="7.75" style="29" customWidth="1"/>
    <col min="13552" max="13552" width="8.75" style="29" customWidth="1"/>
    <col min="13553" max="13553" width="9.5" style="29" customWidth="1"/>
    <col min="13554" max="13554" width="6.375" style="29" bestFit="1" customWidth="1"/>
    <col min="13555" max="13555" width="6.625" style="29" bestFit="1" customWidth="1"/>
    <col min="13556" max="13556" width="7.25" style="29" customWidth="1"/>
    <col min="13557" max="13557" width="7.5" style="29" customWidth="1"/>
    <col min="13558" max="13558" width="11.5" style="29" bestFit="1" customWidth="1"/>
    <col min="13559" max="13559" width="8.125" style="29" bestFit="1" customWidth="1"/>
    <col min="13560" max="13560" width="8.75" style="29" customWidth="1"/>
    <col min="13561" max="13561" width="11" style="29"/>
    <col min="13562" max="13562" width="5.125" style="29" customWidth="1"/>
    <col min="13563" max="13563" width="15.5" style="29" customWidth="1"/>
    <col min="13564" max="13564" width="15.5" style="29" bestFit="1" customWidth="1"/>
    <col min="13565" max="13803" width="11" style="29"/>
    <col min="13804" max="13804" width="9.125" style="29" customWidth="1"/>
    <col min="13805" max="13805" width="8.5" style="29" customWidth="1"/>
    <col min="13806" max="13806" width="18.75" style="29" customWidth="1"/>
    <col min="13807" max="13807" width="7.75" style="29" customWidth="1"/>
    <col min="13808" max="13808" width="8.75" style="29" customWidth="1"/>
    <col min="13809" max="13809" width="9.5" style="29" customWidth="1"/>
    <col min="13810" max="13810" width="6.375" style="29" bestFit="1" customWidth="1"/>
    <col min="13811" max="13811" width="6.625" style="29" bestFit="1" customWidth="1"/>
    <col min="13812" max="13812" width="7.25" style="29" customWidth="1"/>
    <col min="13813" max="13813" width="7.5" style="29" customWidth="1"/>
    <col min="13814" max="13814" width="11.5" style="29" bestFit="1" customWidth="1"/>
    <col min="13815" max="13815" width="8.125" style="29" bestFit="1" customWidth="1"/>
    <col min="13816" max="13816" width="8.75" style="29" customWidth="1"/>
    <col min="13817" max="13817" width="11" style="29"/>
    <col min="13818" max="13818" width="5.125" style="29" customWidth="1"/>
    <col min="13819" max="13819" width="15.5" style="29" customWidth="1"/>
    <col min="13820" max="13820" width="15.5" style="29" bestFit="1" customWidth="1"/>
    <col min="13821" max="14059" width="11" style="29"/>
    <col min="14060" max="14060" width="9.125" style="29" customWidth="1"/>
    <col min="14061" max="14061" width="8.5" style="29" customWidth="1"/>
    <col min="14062" max="14062" width="18.75" style="29" customWidth="1"/>
    <col min="14063" max="14063" width="7.75" style="29" customWidth="1"/>
    <col min="14064" max="14064" width="8.75" style="29" customWidth="1"/>
    <col min="14065" max="14065" width="9.5" style="29" customWidth="1"/>
    <col min="14066" max="14066" width="6.375" style="29" bestFit="1" customWidth="1"/>
    <col min="14067" max="14067" width="6.625" style="29" bestFit="1" customWidth="1"/>
    <col min="14068" max="14068" width="7.25" style="29" customWidth="1"/>
    <col min="14069" max="14069" width="7.5" style="29" customWidth="1"/>
    <col min="14070" max="14070" width="11.5" style="29" bestFit="1" customWidth="1"/>
    <col min="14071" max="14071" width="8.125" style="29" bestFit="1" customWidth="1"/>
    <col min="14072" max="14072" width="8.75" style="29" customWidth="1"/>
    <col min="14073" max="14073" width="11" style="29"/>
    <col min="14074" max="14074" width="5.125" style="29" customWidth="1"/>
    <col min="14075" max="14075" width="15.5" style="29" customWidth="1"/>
    <col min="14076" max="14076" width="15.5" style="29" bestFit="1" customWidth="1"/>
    <col min="14077" max="14315" width="11" style="29"/>
    <col min="14316" max="14316" width="9.125" style="29" customWidth="1"/>
    <col min="14317" max="14317" width="8.5" style="29" customWidth="1"/>
    <col min="14318" max="14318" width="18.75" style="29" customWidth="1"/>
    <col min="14319" max="14319" width="7.75" style="29" customWidth="1"/>
    <col min="14320" max="14320" width="8.75" style="29" customWidth="1"/>
    <col min="14321" max="14321" width="9.5" style="29" customWidth="1"/>
    <col min="14322" max="14322" width="6.375" style="29" bestFit="1" customWidth="1"/>
    <col min="14323" max="14323" width="6.625" style="29" bestFit="1" customWidth="1"/>
    <col min="14324" max="14324" width="7.25" style="29" customWidth="1"/>
    <col min="14325" max="14325" width="7.5" style="29" customWidth="1"/>
    <col min="14326" max="14326" width="11.5" style="29" bestFit="1" customWidth="1"/>
    <col min="14327" max="14327" width="8.125" style="29" bestFit="1" customWidth="1"/>
    <col min="14328" max="14328" width="8.75" style="29" customWidth="1"/>
    <col min="14329" max="14329" width="11" style="29"/>
    <col min="14330" max="14330" width="5.125" style="29" customWidth="1"/>
    <col min="14331" max="14331" width="15.5" style="29" customWidth="1"/>
    <col min="14332" max="14332" width="15.5" style="29" bestFit="1" customWidth="1"/>
    <col min="14333" max="14571" width="11" style="29"/>
    <col min="14572" max="14572" width="9.125" style="29" customWidth="1"/>
    <col min="14573" max="14573" width="8.5" style="29" customWidth="1"/>
    <col min="14574" max="14574" width="18.75" style="29" customWidth="1"/>
    <col min="14575" max="14575" width="7.75" style="29" customWidth="1"/>
    <col min="14576" max="14576" width="8.75" style="29" customWidth="1"/>
    <col min="14577" max="14577" width="9.5" style="29" customWidth="1"/>
    <col min="14578" max="14578" width="6.375" style="29" bestFit="1" customWidth="1"/>
    <col min="14579" max="14579" width="6.625" style="29" bestFit="1" customWidth="1"/>
    <col min="14580" max="14580" width="7.25" style="29" customWidth="1"/>
    <col min="14581" max="14581" width="7.5" style="29" customWidth="1"/>
    <col min="14582" max="14582" width="11.5" style="29" bestFit="1" customWidth="1"/>
    <col min="14583" max="14583" width="8.125" style="29" bestFit="1" customWidth="1"/>
    <col min="14584" max="14584" width="8.75" style="29" customWidth="1"/>
    <col min="14585" max="14585" width="11" style="29"/>
    <col min="14586" max="14586" width="5.125" style="29" customWidth="1"/>
    <col min="14587" max="14587" width="15.5" style="29" customWidth="1"/>
    <col min="14588" max="14588" width="15.5" style="29" bestFit="1" customWidth="1"/>
    <col min="14589" max="14827" width="11" style="29"/>
    <col min="14828" max="14828" width="9.125" style="29" customWidth="1"/>
    <col min="14829" max="14829" width="8.5" style="29" customWidth="1"/>
    <col min="14830" max="14830" width="18.75" style="29" customWidth="1"/>
    <col min="14831" max="14831" width="7.75" style="29" customWidth="1"/>
    <col min="14832" max="14832" width="8.75" style="29" customWidth="1"/>
    <col min="14833" max="14833" width="9.5" style="29" customWidth="1"/>
    <col min="14834" max="14834" width="6.375" style="29" bestFit="1" customWidth="1"/>
    <col min="14835" max="14835" width="6.625" style="29" bestFit="1" customWidth="1"/>
    <col min="14836" max="14836" width="7.25" style="29" customWidth="1"/>
    <col min="14837" max="14837" width="7.5" style="29" customWidth="1"/>
    <col min="14838" max="14838" width="11.5" style="29" bestFit="1" customWidth="1"/>
    <col min="14839" max="14839" width="8.125" style="29" bestFit="1" customWidth="1"/>
    <col min="14840" max="14840" width="8.75" style="29" customWidth="1"/>
    <col min="14841" max="14841" width="11" style="29"/>
    <col min="14842" max="14842" width="5.125" style="29" customWidth="1"/>
    <col min="14843" max="14843" width="15.5" style="29" customWidth="1"/>
    <col min="14844" max="14844" width="15.5" style="29" bestFit="1" customWidth="1"/>
    <col min="14845" max="15083" width="11" style="29"/>
    <col min="15084" max="15084" width="9.125" style="29" customWidth="1"/>
    <col min="15085" max="15085" width="8.5" style="29" customWidth="1"/>
    <col min="15086" max="15086" width="18.75" style="29" customWidth="1"/>
    <col min="15087" max="15087" width="7.75" style="29" customWidth="1"/>
    <col min="15088" max="15088" width="8.75" style="29" customWidth="1"/>
    <col min="15089" max="15089" width="9.5" style="29" customWidth="1"/>
    <col min="15090" max="15090" width="6.375" style="29" bestFit="1" customWidth="1"/>
    <col min="15091" max="15091" width="6.625" style="29" bestFit="1" customWidth="1"/>
    <col min="15092" max="15092" width="7.25" style="29" customWidth="1"/>
    <col min="15093" max="15093" width="7.5" style="29" customWidth="1"/>
    <col min="15094" max="15094" width="11.5" style="29" bestFit="1" customWidth="1"/>
    <col min="15095" max="15095" width="8.125" style="29" bestFit="1" customWidth="1"/>
    <col min="15096" max="15096" width="8.75" style="29" customWidth="1"/>
    <col min="15097" max="15097" width="11" style="29"/>
    <col min="15098" max="15098" width="5.125" style="29" customWidth="1"/>
    <col min="15099" max="15099" width="15.5" style="29" customWidth="1"/>
    <col min="15100" max="15100" width="15.5" style="29" bestFit="1" customWidth="1"/>
    <col min="15101" max="15339" width="11" style="29"/>
    <col min="15340" max="15340" width="9.125" style="29" customWidth="1"/>
    <col min="15341" max="15341" width="8.5" style="29" customWidth="1"/>
    <col min="15342" max="15342" width="18.75" style="29" customWidth="1"/>
    <col min="15343" max="15343" width="7.75" style="29" customWidth="1"/>
    <col min="15344" max="15344" width="8.75" style="29" customWidth="1"/>
    <col min="15345" max="15345" width="9.5" style="29" customWidth="1"/>
    <col min="15346" max="15346" width="6.375" style="29" bestFit="1" customWidth="1"/>
    <col min="15347" max="15347" width="6.625" style="29" bestFit="1" customWidth="1"/>
    <col min="15348" max="15348" width="7.25" style="29" customWidth="1"/>
    <col min="15349" max="15349" width="7.5" style="29" customWidth="1"/>
    <col min="15350" max="15350" width="11.5" style="29" bestFit="1" customWidth="1"/>
    <col min="15351" max="15351" width="8.125" style="29" bestFit="1" customWidth="1"/>
    <col min="15352" max="15352" width="8.75" style="29" customWidth="1"/>
    <col min="15353" max="15353" width="11" style="29"/>
    <col min="15354" max="15354" width="5.125" style="29" customWidth="1"/>
    <col min="15355" max="15355" width="15.5" style="29" customWidth="1"/>
    <col min="15356" max="15356" width="15.5" style="29" bestFit="1" customWidth="1"/>
    <col min="15357" max="15595" width="11" style="29"/>
    <col min="15596" max="15596" width="9.125" style="29" customWidth="1"/>
    <col min="15597" max="15597" width="8.5" style="29" customWidth="1"/>
    <col min="15598" max="15598" width="18.75" style="29" customWidth="1"/>
    <col min="15599" max="15599" width="7.75" style="29" customWidth="1"/>
    <col min="15600" max="15600" width="8.75" style="29" customWidth="1"/>
    <col min="15601" max="15601" width="9.5" style="29" customWidth="1"/>
    <col min="15602" max="15602" width="6.375" style="29" bestFit="1" customWidth="1"/>
    <col min="15603" max="15603" width="6.625" style="29" bestFit="1" customWidth="1"/>
    <col min="15604" max="15604" width="7.25" style="29" customWidth="1"/>
    <col min="15605" max="15605" width="7.5" style="29" customWidth="1"/>
    <col min="15606" max="15606" width="11.5" style="29" bestFit="1" customWidth="1"/>
    <col min="15607" max="15607" width="8.125" style="29" bestFit="1" customWidth="1"/>
    <col min="15608" max="15608" width="8.75" style="29" customWidth="1"/>
    <col min="15609" max="15609" width="11" style="29"/>
    <col min="15610" max="15610" width="5.125" style="29" customWidth="1"/>
    <col min="15611" max="15611" width="15.5" style="29" customWidth="1"/>
    <col min="15612" max="15612" width="15.5" style="29" bestFit="1" customWidth="1"/>
    <col min="15613" max="15851" width="11" style="29"/>
    <col min="15852" max="15852" width="9.125" style="29" customWidth="1"/>
    <col min="15853" max="15853" width="8.5" style="29" customWidth="1"/>
    <col min="15854" max="15854" width="18.75" style="29" customWidth="1"/>
    <col min="15855" max="15855" width="7.75" style="29" customWidth="1"/>
    <col min="15856" max="15856" width="8.75" style="29" customWidth="1"/>
    <col min="15857" max="15857" width="9.5" style="29" customWidth="1"/>
    <col min="15858" max="15858" width="6.375" style="29" bestFit="1" customWidth="1"/>
    <col min="15859" max="15859" width="6.625" style="29" bestFit="1" customWidth="1"/>
    <col min="15860" max="15860" width="7.25" style="29" customWidth="1"/>
    <col min="15861" max="15861" width="7.5" style="29" customWidth="1"/>
    <col min="15862" max="15862" width="11.5" style="29" bestFit="1" customWidth="1"/>
    <col min="15863" max="15863" width="8.125" style="29" bestFit="1" customWidth="1"/>
    <col min="15864" max="15864" width="8.75" style="29" customWidth="1"/>
    <col min="15865" max="15865" width="11" style="29"/>
    <col min="15866" max="15866" width="5.125" style="29" customWidth="1"/>
    <col min="15867" max="15867" width="15.5" style="29" customWidth="1"/>
    <col min="15868" max="15868" width="15.5" style="29" bestFit="1" customWidth="1"/>
    <col min="15869" max="16107" width="11" style="29"/>
    <col min="16108" max="16108" width="9.125" style="29" customWidth="1"/>
    <col min="16109" max="16109" width="8.5" style="29" customWidth="1"/>
    <col min="16110" max="16110" width="18.75" style="29" customWidth="1"/>
    <col min="16111" max="16111" width="7.75" style="29" customWidth="1"/>
    <col min="16112" max="16112" width="8.75" style="29" customWidth="1"/>
    <col min="16113" max="16113" width="9.5" style="29" customWidth="1"/>
    <col min="16114" max="16114" width="6.375" style="29" bestFit="1" customWidth="1"/>
    <col min="16115" max="16115" width="6.625" style="29" bestFit="1" customWidth="1"/>
    <col min="16116" max="16116" width="7.25" style="29" customWidth="1"/>
    <col min="16117" max="16117" width="7.5" style="29" customWidth="1"/>
    <col min="16118" max="16118" width="11.5" style="29" bestFit="1" customWidth="1"/>
    <col min="16119" max="16119" width="8.125" style="29" bestFit="1" customWidth="1"/>
    <col min="16120" max="16120" width="8.75" style="29" customWidth="1"/>
    <col min="16121" max="16121" width="11" style="29"/>
    <col min="16122" max="16122" width="5.125" style="29" customWidth="1"/>
    <col min="16123" max="16123" width="15.5" style="29" customWidth="1"/>
    <col min="16124" max="16124" width="15.5" style="29" bestFit="1" customWidth="1"/>
    <col min="16125" max="16384" width="11" style="29"/>
  </cols>
  <sheetData>
    <row r="1" spans="1:23" ht="13.5" customHeight="1">
      <c r="B1" s="30" t="s">
        <v>156</v>
      </c>
      <c r="C1" s="31" t="s">
        <v>157</v>
      </c>
      <c r="D1" s="30" t="s">
        <v>0</v>
      </c>
      <c r="E1" s="30" t="s">
        <v>158</v>
      </c>
      <c r="F1" s="30" t="s">
        <v>159</v>
      </c>
      <c r="G1" s="30" t="s">
        <v>160</v>
      </c>
      <c r="H1" s="30" t="s">
        <v>161</v>
      </c>
      <c r="I1" s="32" t="s">
        <v>162</v>
      </c>
      <c r="J1" s="33"/>
      <c r="K1" s="33"/>
      <c r="L1" s="34"/>
      <c r="M1" s="35" t="s">
        <v>163</v>
      </c>
      <c r="O1" s="36"/>
      <c r="P1" s="36"/>
      <c r="Q1" s="35" t="s">
        <v>164</v>
      </c>
      <c r="S1" s="36"/>
      <c r="T1" s="36"/>
      <c r="U1" s="37" t="s">
        <v>165</v>
      </c>
      <c r="V1" s="38" t="s">
        <v>166</v>
      </c>
      <c r="W1" s="38" t="s">
        <v>167</v>
      </c>
    </row>
    <row r="2" spans="1:23" ht="13.5">
      <c r="A2" s="29" t="s">
        <v>168</v>
      </c>
      <c r="B2" s="41"/>
      <c r="C2" s="42"/>
      <c r="D2" s="41"/>
      <c r="E2" s="41"/>
      <c r="F2" s="43"/>
      <c r="G2" s="41"/>
      <c r="H2" s="41"/>
      <c r="I2" s="44" t="s">
        <v>169</v>
      </c>
      <c r="J2" s="45" t="s">
        <v>170</v>
      </c>
      <c r="K2" s="45" t="s">
        <v>171</v>
      </c>
      <c r="L2" s="46" t="s">
        <v>172</v>
      </c>
      <c r="M2" s="44" t="s">
        <v>169</v>
      </c>
      <c r="N2" s="45" t="s">
        <v>170</v>
      </c>
      <c r="O2" s="45" t="s">
        <v>171</v>
      </c>
      <c r="P2" s="46" t="s">
        <v>172</v>
      </c>
      <c r="Q2" s="44" t="s">
        <v>169</v>
      </c>
      <c r="R2" s="45" t="s">
        <v>170</v>
      </c>
      <c r="S2" s="45" t="s">
        <v>171</v>
      </c>
      <c r="T2" s="46" t="s">
        <v>172</v>
      </c>
      <c r="U2" s="47"/>
      <c r="W2" s="46"/>
    </row>
    <row r="3" spans="1:23">
      <c r="A3" s="48" t="s">
        <v>7</v>
      </c>
      <c r="B3" s="48" t="s">
        <v>245</v>
      </c>
      <c r="C3" s="48" t="s">
        <v>246</v>
      </c>
      <c r="D3" s="48" t="s">
        <v>247</v>
      </c>
      <c r="E3" s="48" t="s">
        <v>9</v>
      </c>
      <c r="F3" s="48" t="s">
        <v>174</v>
      </c>
      <c r="G3" s="49">
        <v>43647</v>
      </c>
      <c r="H3" s="49" t="s">
        <v>248</v>
      </c>
      <c r="I3" s="50">
        <v>0</v>
      </c>
      <c r="J3" s="50">
        <v>0</v>
      </c>
      <c r="K3" s="51">
        <v>243</v>
      </c>
      <c r="L3" s="50">
        <v>2101440</v>
      </c>
      <c r="M3" s="50">
        <v>0</v>
      </c>
      <c r="N3" s="50">
        <v>0</v>
      </c>
      <c r="O3" s="51">
        <v>243</v>
      </c>
      <c r="P3" s="50">
        <v>2101440</v>
      </c>
      <c r="Q3" s="50">
        <v>0</v>
      </c>
      <c r="R3" s="50">
        <v>0</v>
      </c>
      <c r="S3" s="51">
        <v>243</v>
      </c>
      <c r="T3" s="50">
        <v>2101440</v>
      </c>
      <c r="U3" s="52" t="s">
        <v>175</v>
      </c>
      <c r="V3" s="51" t="s">
        <v>249</v>
      </c>
      <c r="W3" s="53"/>
    </row>
    <row r="4" spans="1:23">
      <c r="A4" s="48" t="s">
        <v>37</v>
      </c>
      <c r="B4" s="48" t="s">
        <v>250</v>
      </c>
      <c r="C4" s="48" t="s">
        <v>251</v>
      </c>
      <c r="D4" s="48" t="s">
        <v>252</v>
      </c>
      <c r="E4" s="48" t="s">
        <v>39</v>
      </c>
      <c r="F4" s="48" t="s">
        <v>13</v>
      </c>
      <c r="G4" s="49">
        <v>44013</v>
      </c>
      <c r="H4" s="49" t="s">
        <v>248</v>
      </c>
      <c r="I4" s="50">
        <v>0</v>
      </c>
      <c r="J4" s="50">
        <v>0</v>
      </c>
      <c r="K4" s="51">
        <v>243</v>
      </c>
      <c r="L4" s="50">
        <v>2101440</v>
      </c>
      <c r="M4" s="50">
        <v>0</v>
      </c>
      <c r="N4" s="50">
        <v>0</v>
      </c>
      <c r="O4" s="51">
        <v>243</v>
      </c>
      <c r="P4" s="50">
        <v>2101440</v>
      </c>
      <c r="Q4" s="50">
        <v>0</v>
      </c>
      <c r="R4" s="50">
        <v>0</v>
      </c>
      <c r="S4" s="51">
        <v>243</v>
      </c>
      <c r="T4" s="50">
        <v>2101440</v>
      </c>
      <c r="U4" s="52" t="s">
        <v>175</v>
      </c>
      <c r="V4" s="51" t="s">
        <v>253</v>
      </c>
      <c r="W4" s="53"/>
    </row>
    <row r="5" spans="1:23">
      <c r="A5" s="48" t="s">
        <v>54</v>
      </c>
      <c r="B5" s="48" t="s">
        <v>254</v>
      </c>
      <c r="C5" s="48" t="s">
        <v>255</v>
      </c>
      <c r="D5" s="48" t="s">
        <v>256</v>
      </c>
      <c r="E5" s="48" t="s">
        <v>56</v>
      </c>
      <c r="F5" s="48" t="s">
        <v>176</v>
      </c>
      <c r="G5" s="49">
        <v>44270</v>
      </c>
      <c r="H5" s="49" t="s">
        <v>248</v>
      </c>
      <c r="I5" s="50">
        <v>0</v>
      </c>
      <c r="J5" s="50">
        <v>0</v>
      </c>
      <c r="K5" s="51">
        <v>243</v>
      </c>
      <c r="L5" s="50">
        <v>2101440</v>
      </c>
      <c r="M5" s="50">
        <v>0</v>
      </c>
      <c r="N5" s="50">
        <v>0</v>
      </c>
      <c r="O5" s="51">
        <v>243</v>
      </c>
      <c r="P5" s="50">
        <v>2101440</v>
      </c>
      <c r="Q5" s="50">
        <v>0</v>
      </c>
      <c r="R5" s="50">
        <v>0</v>
      </c>
      <c r="S5" s="51">
        <v>243</v>
      </c>
      <c r="T5" s="50">
        <v>2101440</v>
      </c>
      <c r="U5" s="52" t="s">
        <v>175</v>
      </c>
      <c r="V5" s="51" t="s">
        <v>257</v>
      </c>
      <c r="W5" s="53"/>
    </row>
    <row r="6" spans="1:23">
      <c r="A6" s="48" t="s">
        <v>66</v>
      </c>
      <c r="B6" s="48" t="s">
        <v>258</v>
      </c>
      <c r="C6" s="48" t="s">
        <v>259</v>
      </c>
      <c r="D6" s="48" t="s">
        <v>260</v>
      </c>
      <c r="E6" s="48" t="s">
        <v>68</v>
      </c>
      <c r="F6" s="48" t="s">
        <v>177</v>
      </c>
      <c r="G6" s="49">
        <v>44566</v>
      </c>
      <c r="H6" s="49">
        <v>45682</v>
      </c>
      <c r="I6" s="50">
        <v>0</v>
      </c>
      <c r="J6" s="50">
        <v>0</v>
      </c>
      <c r="K6" s="51">
        <v>0</v>
      </c>
      <c r="L6" s="50">
        <v>2101440</v>
      </c>
      <c r="M6" s="50">
        <v>0</v>
      </c>
      <c r="N6" s="50">
        <v>0</v>
      </c>
      <c r="O6" s="51">
        <v>0</v>
      </c>
      <c r="P6" s="50">
        <v>2101440</v>
      </c>
      <c r="Q6" s="50">
        <v>0</v>
      </c>
      <c r="R6" s="50">
        <v>0</v>
      </c>
      <c r="S6" s="51">
        <v>0</v>
      </c>
      <c r="T6" s="50">
        <v>2101440</v>
      </c>
      <c r="U6" s="52" t="s">
        <v>175</v>
      </c>
      <c r="V6" s="51" t="s">
        <v>261</v>
      </c>
      <c r="W6" s="53"/>
    </row>
    <row r="7" spans="1:23">
      <c r="A7" s="48" t="s">
        <v>75</v>
      </c>
      <c r="B7" s="48" t="s">
        <v>262</v>
      </c>
      <c r="C7" s="48" t="s">
        <v>263</v>
      </c>
      <c r="D7" s="48" t="s">
        <v>264</v>
      </c>
      <c r="E7" s="48" t="s">
        <v>77</v>
      </c>
      <c r="F7" s="48" t="s">
        <v>178</v>
      </c>
      <c r="G7" s="49">
        <v>44713</v>
      </c>
      <c r="H7" s="49" t="s">
        <v>248</v>
      </c>
      <c r="I7" s="50">
        <v>0</v>
      </c>
      <c r="J7" s="50">
        <v>0</v>
      </c>
      <c r="K7" s="51">
        <v>243</v>
      </c>
      <c r="L7" s="50">
        <v>2101440</v>
      </c>
      <c r="M7" s="50">
        <v>0</v>
      </c>
      <c r="N7" s="50">
        <v>0</v>
      </c>
      <c r="O7" s="51">
        <v>243</v>
      </c>
      <c r="P7" s="50">
        <v>2101440</v>
      </c>
      <c r="Q7" s="50">
        <v>0</v>
      </c>
      <c r="R7" s="50">
        <v>0</v>
      </c>
      <c r="S7" s="51">
        <v>243</v>
      </c>
      <c r="T7" s="50">
        <v>2101440</v>
      </c>
      <c r="U7" s="52" t="s">
        <v>175</v>
      </c>
      <c r="V7" s="51" t="s">
        <v>265</v>
      </c>
      <c r="W7" s="53"/>
    </row>
    <row r="8" spans="1:23">
      <c r="A8" s="48" t="s">
        <v>31</v>
      </c>
      <c r="B8" s="48" t="s">
        <v>266</v>
      </c>
      <c r="C8" s="48" t="s">
        <v>267</v>
      </c>
      <c r="D8" s="48" t="s">
        <v>268</v>
      </c>
      <c r="E8" s="48" t="s">
        <v>33</v>
      </c>
      <c r="F8" s="48" t="s">
        <v>69</v>
      </c>
      <c r="G8" s="49">
        <v>43900</v>
      </c>
      <c r="H8" s="49" t="s">
        <v>248</v>
      </c>
      <c r="I8" s="50">
        <v>0</v>
      </c>
      <c r="J8" s="50">
        <v>0</v>
      </c>
      <c r="K8" s="51">
        <v>243</v>
      </c>
      <c r="L8" s="50">
        <v>2101440</v>
      </c>
      <c r="M8" s="50">
        <v>0</v>
      </c>
      <c r="N8" s="50">
        <v>0</v>
      </c>
      <c r="O8" s="51">
        <v>243</v>
      </c>
      <c r="P8" s="50">
        <v>2101440</v>
      </c>
      <c r="Q8" s="50">
        <v>0</v>
      </c>
      <c r="R8" s="50">
        <v>0</v>
      </c>
      <c r="S8" s="51">
        <v>243</v>
      </c>
      <c r="T8" s="50">
        <v>2101440</v>
      </c>
      <c r="U8" s="52" t="s">
        <v>175</v>
      </c>
      <c r="V8" s="51" t="s">
        <v>269</v>
      </c>
      <c r="W8" s="53"/>
    </row>
    <row r="9" spans="1:23">
      <c r="A9" s="48" t="s">
        <v>49</v>
      </c>
      <c r="B9" s="48" t="s">
        <v>270</v>
      </c>
      <c r="C9" s="48" t="s">
        <v>271</v>
      </c>
      <c r="D9" s="48" t="s">
        <v>272</v>
      </c>
      <c r="E9" s="48" t="s">
        <v>51</v>
      </c>
      <c r="F9" s="48" t="s">
        <v>72</v>
      </c>
      <c r="G9" s="49">
        <v>44105</v>
      </c>
      <c r="H9" s="49">
        <v>45672</v>
      </c>
      <c r="I9" s="50">
        <v>0</v>
      </c>
      <c r="J9" s="50">
        <v>0</v>
      </c>
      <c r="K9" s="51">
        <v>243</v>
      </c>
      <c r="L9" s="50">
        <v>2101440</v>
      </c>
      <c r="M9" s="50">
        <v>0</v>
      </c>
      <c r="N9" s="50">
        <v>0</v>
      </c>
      <c r="O9" s="51">
        <v>243</v>
      </c>
      <c r="P9" s="50">
        <v>2101440</v>
      </c>
      <c r="Q9" s="50">
        <v>222492</v>
      </c>
      <c r="R9" s="50">
        <v>0</v>
      </c>
      <c r="S9" s="51">
        <v>129.6</v>
      </c>
      <c r="T9" s="50">
        <v>2101440</v>
      </c>
      <c r="U9" s="52" t="s">
        <v>175</v>
      </c>
      <c r="V9" s="51" t="s">
        <v>273</v>
      </c>
      <c r="W9" s="53"/>
    </row>
    <row r="10" spans="1:23">
      <c r="A10" s="48" t="s">
        <v>63</v>
      </c>
      <c r="B10" s="48" t="s">
        <v>274</v>
      </c>
      <c r="C10" s="48" t="s">
        <v>275</v>
      </c>
      <c r="D10" s="48" t="s">
        <v>276</v>
      </c>
      <c r="E10" s="48" t="s">
        <v>65</v>
      </c>
      <c r="F10" s="48" t="s">
        <v>179</v>
      </c>
      <c r="G10" s="49">
        <v>44566</v>
      </c>
      <c r="H10" s="49" t="s">
        <v>248</v>
      </c>
      <c r="I10" s="50">
        <v>0</v>
      </c>
      <c r="J10" s="50">
        <v>0</v>
      </c>
      <c r="K10" s="51">
        <v>243</v>
      </c>
      <c r="L10" s="50">
        <v>2101440</v>
      </c>
      <c r="M10" s="50">
        <v>0</v>
      </c>
      <c r="N10" s="50">
        <v>0</v>
      </c>
      <c r="O10" s="51">
        <v>243</v>
      </c>
      <c r="P10" s="50">
        <v>2101440</v>
      </c>
      <c r="Q10" s="50">
        <v>0</v>
      </c>
      <c r="R10" s="50">
        <v>0</v>
      </c>
      <c r="S10" s="51">
        <v>243</v>
      </c>
      <c r="T10" s="50">
        <v>2101440</v>
      </c>
      <c r="U10" s="52" t="s">
        <v>175</v>
      </c>
      <c r="V10" s="51" t="s">
        <v>277</v>
      </c>
      <c r="W10" s="53"/>
    </row>
    <row r="11" spans="1:23">
      <c r="A11" s="48" t="s">
        <v>95</v>
      </c>
      <c r="B11" s="48" t="s">
        <v>278</v>
      </c>
      <c r="C11" s="48" t="s">
        <v>279</v>
      </c>
      <c r="D11" s="48" t="s">
        <v>280</v>
      </c>
      <c r="E11" s="48" t="s">
        <v>97</v>
      </c>
      <c r="F11" s="48" t="s">
        <v>180</v>
      </c>
      <c r="G11" s="49">
        <v>45323</v>
      </c>
      <c r="H11" s="49" t="s">
        <v>248</v>
      </c>
      <c r="I11" s="50">
        <v>0</v>
      </c>
      <c r="J11" s="50">
        <v>0</v>
      </c>
      <c r="K11" s="51">
        <v>243</v>
      </c>
      <c r="L11" s="50">
        <v>2101440</v>
      </c>
      <c r="M11" s="50">
        <v>0</v>
      </c>
      <c r="N11" s="50">
        <v>0</v>
      </c>
      <c r="O11" s="51">
        <v>243</v>
      </c>
      <c r="P11" s="50">
        <v>2101440</v>
      </c>
      <c r="Q11" s="50">
        <v>0</v>
      </c>
      <c r="R11" s="50">
        <v>0</v>
      </c>
      <c r="S11" s="51">
        <v>243</v>
      </c>
      <c r="T11" s="50">
        <v>2101440</v>
      </c>
      <c r="U11" s="52" t="s">
        <v>175</v>
      </c>
      <c r="V11" s="51" t="s">
        <v>281</v>
      </c>
      <c r="W11" s="53"/>
    </row>
    <row r="12" spans="1:23">
      <c r="A12" s="48" t="s">
        <v>69</v>
      </c>
      <c r="B12" s="48" t="s">
        <v>282</v>
      </c>
      <c r="C12" s="48" t="s">
        <v>283</v>
      </c>
      <c r="D12" s="48" t="s">
        <v>284</v>
      </c>
      <c r="E12" s="48" t="s">
        <v>71</v>
      </c>
      <c r="F12" s="48" t="s">
        <v>49</v>
      </c>
      <c r="G12" s="49">
        <v>44652</v>
      </c>
      <c r="H12" s="49" t="s">
        <v>248</v>
      </c>
      <c r="I12" s="50">
        <v>0</v>
      </c>
      <c r="J12" s="50">
        <v>0</v>
      </c>
      <c r="K12" s="51">
        <v>243</v>
      </c>
      <c r="L12" s="50">
        <v>2101440</v>
      </c>
      <c r="M12" s="50">
        <v>0</v>
      </c>
      <c r="N12" s="50">
        <v>0</v>
      </c>
      <c r="O12" s="51">
        <v>243</v>
      </c>
      <c r="P12" s="50">
        <v>2101440</v>
      </c>
      <c r="Q12" s="50">
        <v>0</v>
      </c>
      <c r="R12" s="50">
        <v>0</v>
      </c>
      <c r="S12" s="51">
        <v>243</v>
      </c>
      <c r="T12" s="50">
        <v>2101440</v>
      </c>
      <c r="U12" s="52" t="s">
        <v>175</v>
      </c>
      <c r="V12" s="51" t="s">
        <v>285</v>
      </c>
      <c r="W12" s="53"/>
    </row>
    <row r="13" spans="1:23">
      <c r="A13" s="48" t="s">
        <v>46</v>
      </c>
      <c r="B13" s="48" t="s">
        <v>286</v>
      </c>
      <c r="C13" s="48" t="s">
        <v>287</v>
      </c>
      <c r="D13" s="48" t="s">
        <v>288</v>
      </c>
      <c r="E13" s="48" t="s">
        <v>48</v>
      </c>
      <c r="F13" s="48" t="s">
        <v>52</v>
      </c>
      <c r="G13" s="49">
        <v>44013</v>
      </c>
      <c r="H13" s="49" t="s">
        <v>248</v>
      </c>
      <c r="I13" s="50">
        <v>0</v>
      </c>
      <c r="J13" s="50">
        <v>0</v>
      </c>
      <c r="K13" s="51">
        <v>44</v>
      </c>
      <c r="L13" s="50">
        <v>2101440</v>
      </c>
      <c r="M13" s="50">
        <v>0</v>
      </c>
      <c r="N13" s="50">
        <v>0</v>
      </c>
      <c r="O13" s="51">
        <v>44</v>
      </c>
      <c r="P13" s="50">
        <v>2101440</v>
      </c>
      <c r="Q13" s="50">
        <v>0</v>
      </c>
      <c r="R13" s="50">
        <v>0</v>
      </c>
      <c r="S13" s="51">
        <v>44</v>
      </c>
      <c r="T13" s="50">
        <v>2101440</v>
      </c>
      <c r="U13" s="52" t="s">
        <v>175</v>
      </c>
      <c r="V13" s="51" t="s">
        <v>289</v>
      </c>
      <c r="W13" s="53"/>
    </row>
    <row r="14" spans="1:23">
      <c r="A14" s="48" t="s">
        <v>29</v>
      </c>
      <c r="B14" s="48" t="s">
        <v>290</v>
      </c>
      <c r="C14" s="48" t="s">
        <v>291</v>
      </c>
      <c r="D14" s="48" t="s">
        <v>30</v>
      </c>
      <c r="E14" s="48" t="s">
        <v>292</v>
      </c>
      <c r="F14" s="48" t="s">
        <v>181</v>
      </c>
      <c r="G14" s="49">
        <v>43647</v>
      </c>
      <c r="H14" s="49" t="s">
        <v>248</v>
      </c>
      <c r="I14" s="50">
        <v>0</v>
      </c>
      <c r="J14" s="50">
        <v>0</v>
      </c>
      <c r="K14" s="51">
        <v>243</v>
      </c>
      <c r="L14" s="50">
        <v>2101440</v>
      </c>
      <c r="M14" s="50">
        <v>0</v>
      </c>
      <c r="N14" s="50">
        <v>0</v>
      </c>
      <c r="O14" s="51">
        <v>243</v>
      </c>
      <c r="P14" s="50">
        <v>2101440</v>
      </c>
      <c r="Q14" s="50">
        <v>0</v>
      </c>
      <c r="R14" s="50">
        <v>0</v>
      </c>
      <c r="S14" s="51">
        <v>243</v>
      </c>
      <c r="T14" s="50">
        <v>2101440</v>
      </c>
      <c r="U14" s="52" t="s">
        <v>175</v>
      </c>
      <c r="V14" s="51" t="s">
        <v>293</v>
      </c>
      <c r="W14" s="53"/>
    </row>
    <row r="15" spans="1:23">
      <c r="A15" s="48" t="s">
        <v>16</v>
      </c>
      <c r="B15" s="48" t="s">
        <v>294</v>
      </c>
      <c r="C15" s="48" t="s">
        <v>295</v>
      </c>
      <c r="D15" s="48" t="s">
        <v>17</v>
      </c>
      <c r="E15" s="48" t="s">
        <v>292</v>
      </c>
      <c r="F15" s="48" t="s">
        <v>43</v>
      </c>
      <c r="G15" s="49">
        <v>43647</v>
      </c>
      <c r="H15" s="49" t="s">
        <v>248</v>
      </c>
      <c r="I15" s="50">
        <v>0</v>
      </c>
      <c r="J15" s="50">
        <v>0</v>
      </c>
      <c r="K15" s="51">
        <v>243</v>
      </c>
      <c r="L15" s="50">
        <v>2101440</v>
      </c>
      <c r="M15" s="50">
        <v>0</v>
      </c>
      <c r="N15" s="50">
        <v>0</v>
      </c>
      <c r="O15" s="51">
        <v>243</v>
      </c>
      <c r="P15" s="50">
        <v>2101440</v>
      </c>
      <c r="Q15" s="50">
        <v>0</v>
      </c>
      <c r="R15" s="50">
        <v>0</v>
      </c>
      <c r="S15" s="51">
        <v>243</v>
      </c>
      <c r="T15" s="50">
        <v>2101440</v>
      </c>
      <c r="U15" s="52" t="s">
        <v>175</v>
      </c>
      <c r="V15" s="51" t="s">
        <v>296</v>
      </c>
      <c r="W15" s="53"/>
    </row>
    <row r="16" spans="1:23">
      <c r="A16" s="48" t="s">
        <v>4</v>
      </c>
      <c r="B16" s="48" t="s">
        <v>297</v>
      </c>
      <c r="C16" s="48" t="s">
        <v>298</v>
      </c>
      <c r="D16" s="48" t="s">
        <v>299</v>
      </c>
      <c r="E16" s="48" t="s">
        <v>6</v>
      </c>
      <c r="F16" s="48" t="s">
        <v>182</v>
      </c>
      <c r="G16" s="49">
        <v>43313</v>
      </c>
      <c r="H16" s="49" t="s">
        <v>248</v>
      </c>
      <c r="I16" s="50">
        <v>0</v>
      </c>
      <c r="J16" s="50">
        <v>0</v>
      </c>
      <c r="K16" s="51">
        <v>243</v>
      </c>
      <c r="L16" s="50">
        <v>2101440</v>
      </c>
      <c r="M16" s="50">
        <v>0</v>
      </c>
      <c r="N16" s="50">
        <v>0</v>
      </c>
      <c r="O16" s="51">
        <v>243</v>
      </c>
      <c r="P16" s="50">
        <v>2101440</v>
      </c>
      <c r="Q16" s="50">
        <v>0</v>
      </c>
      <c r="R16" s="50">
        <v>0</v>
      </c>
      <c r="S16" s="51">
        <v>243</v>
      </c>
      <c r="T16" s="50">
        <v>2101440</v>
      </c>
      <c r="U16" s="52" t="s">
        <v>175</v>
      </c>
      <c r="V16" s="51" t="s">
        <v>300</v>
      </c>
      <c r="W16" s="53"/>
    </row>
    <row r="17" spans="1:23">
      <c r="A17" s="48" t="s">
        <v>24</v>
      </c>
      <c r="B17" s="48" t="s">
        <v>301</v>
      </c>
      <c r="C17" s="48" t="s">
        <v>302</v>
      </c>
      <c r="D17" s="48" t="s">
        <v>25</v>
      </c>
      <c r="E17" s="48" t="s">
        <v>292</v>
      </c>
      <c r="F17" s="48" t="s">
        <v>75</v>
      </c>
      <c r="G17" s="49">
        <v>43647</v>
      </c>
      <c r="H17" s="49" t="s">
        <v>248</v>
      </c>
      <c r="I17" s="50">
        <v>0</v>
      </c>
      <c r="J17" s="50">
        <v>0</v>
      </c>
      <c r="K17" s="51">
        <v>243</v>
      </c>
      <c r="L17" s="50">
        <v>2101440</v>
      </c>
      <c r="M17" s="50">
        <v>0</v>
      </c>
      <c r="N17" s="50">
        <v>0</v>
      </c>
      <c r="O17" s="51">
        <v>243</v>
      </c>
      <c r="P17" s="50">
        <v>2101440</v>
      </c>
      <c r="Q17" s="50">
        <v>0</v>
      </c>
      <c r="R17" s="50">
        <v>0</v>
      </c>
      <c r="S17" s="51">
        <v>243</v>
      </c>
      <c r="T17" s="50">
        <v>2101440</v>
      </c>
      <c r="U17" s="52" t="s">
        <v>175</v>
      </c>
      <c r="V17" s="51" t="s">
        <v>303</v>
      </c>
      <c r="W17" s="53"/>
    </row>
    <row r="18" spans="1:23">
      <c r="A18" s="48" t="s">
        <v>57</v>
      </c>
      <c r="B18" s="48" t="s">
        <v>304</v>
      </c>
      <c r="C18" s="48" t="s">
        <v>305</v>
      </c>
      <c r="D18" s="48" t="s">
        <v>306</v>
      </c>
      <c r="E18" s="48" t="s">
        <v>59</v>
      </c>
      <c r="F18" s="48" t="s">
        <v>26</v>
      </c>
      <c r="G18" s="49">
        <v>44470</v>
      </c>
      <c r="H18" s="49">
        <v>45580</v>
      </c>
      <c r="I18" s="50">
        <v>316603</v>
      </c>
      <c r="J18" s="50">
        <v>0</v>
      </c>
      <c r="K18" s="51">
        <v>121.5</v>
      </c>
      <c r="L18" s="50">
        <v>2101440</v>
      </c>
      <c r="M18" s="50">
        <v>0</v>
      </c>
      <c r="N18" s="50">
        <v>0</v>
      </c>
      <c r="O18" s="51">
        <v>0</v>
      </c>
      <c r="P18" s="50">
        <v>2101440</v>
      </c>
      <c r="Q18" s="50">
        <v>0</v>
      </c>
      <c r="R18" s="50">
        <v>0</v>
      </c>
      <c r="S18" s="51">
        <v>0</v>
      </c>
      <c r="T18" s="50">
        <v>2101440</v>
      </c>
      <c r="U18" s="52" t="s">
        <v>175</v>
      </c>
      <c r="V18" s="51" t="s">
        <v>307</v>
      </c>
      <c r="W18" s="53"/>
    </row>
    <row r="19" spans="1:23">
      <c r="A19" s="48" t="s">
        <v>26</v>
      </c>
      <c r="B19" s="48" t="s">
        <v>308</v>
      </c>
      <c r="C19" s="48" t="s">
        <v>309</v>
      </c>
      <c r="D19" s="48" t="s">
        <v>310</v>
      </c>
      <c r="E19" s="48" t="s">
        <v>28</v>
      </c>
      <c r="F19" s="48" t="s">
        <v>40</v>
      </c>
      <c r="G19" s="49">
        <v>43647</v>
      </c>
      <c r="H19" s="49" t="s">
        <v>248</v>
      </c>
      <c r="I19" s="50">
        <v>0</v>
      </c>
      <c r="J19" s="50">
        <v>0</v>
      </c>
      <c r="K19" s="51">
        <v>243</v>
      </c>
      <c r="L19" s="50">
        <v>2101440</v>
      </c>
      <c r="M19" s="50">
        <v>0</v>
      </c>
      <c r="N19" s="50">
        <v>0</v>
      </c>
      <c r="O19" s="51">
        <v>243</v>
      </c>
      <c r="P19" s="50">
        <v>2101440</v>
      </c>
      <c r="Q19" s="50">
        <v>0</v>
      </c>
      <c r="R19" s="50">
        <v>0</v>
      </c>
      <c r="S19" s="51">
        <v>243</v>
      </c>
      <c r="T19" s="50">
        <v>2101440</v>
      </c>
      <c r="U19" s="52" t="s">
        <v>175</v>
      </c>
      <c r="V19" s="51" t="s">
        <v>311</v>
      </c>
      <c r="W19" s="53"/>
    </row>
    <row r="20" spans="1:23">
      <c r="A20" s="48" t="s">
        <v>18</v>
      </c>
      <c r="B20" s="48" t="s">
        <v>312</v>
      </c>
      <c r="C20" s="48" t="s">
        <v>313</v>
      </c>
      <c r="D20" s="48" t="s">
        <v>314</v>
      </c>
      <c r="E20" s="48" t="s">
        <v>20</v>
      </c>
      <c r="F20" s="48" t="s">
        <v>66</v>
      </c>
      <c r="G20" s="49">
        <v>43647</v>
      </c>
      <c r="H20" s="49" t="s">
        <v>248</v>
      </c>
      <c r="I20" s="50">
        <v>0</v>
      </c>
      <c r="J20" s="50">
        <v>0</v>
      </c>
      <c r="K20" s="51">
        <v>44</v>
      </c>
      <c r="L20" s="50">
        <v>2101440</v>
      </c>
      <c r="M20" s="50">
        <v>0</v>
      </c>
      <c r="N20" s="50">
        <v>0</v>
      </c>
      <c r="O20" s="51">
        <v>44</v>
      </c>
      <c r="P20" s="50">
        <v>2101440</v>
      </c>
      <c r="Q20" s="50">
        <v>0</v>
      </c>
      <c r="R20" s="50">
        <v>0</v>
      </c>
      <c r="S20" s="51">
        <v>44</v>
      </c>
      <c r="T20" s="50">
        <v>2101440</v>
      </c>
      <c r="U20" s="52" t="s">
        <v>175</v>
      </c>
      <c r="V20" s="51">
        <v>0</v>
      </c>
      <c r="W20" s="53"/>
    </row>
    <row r="21" spans="1:23">
      <c r="A21" s="48" t="s">
        <v>21</v>
      </c>
      <c r="B21" s="48" t="s">
        <v>315</v>
      </c>
      <c r="C21" s="48" t="s">
        <v>316</v>
      </c>
      <c r="D21" s="48" t="s">
        <v>317</v>
      </c>
      <c r="E21" s="48" t="s">
        <v>23</v>
      </c>
      <c r="F21" s="48" t="s">
        <v>78</v>
      </c>
      <c r="G21" s="49">
        <v>43647</v>
      </c>
      <c r="H21" s="49" t="s">
        <v>248</v>
      </c>
      <c r="I21" s="50">
        <v>0</v>
      </c>
      <c r="J21" s="50">
        <v>0</v>
      </c>
      <c r="K21" s="51">
        <v>243</v>
      </c>
      <c r="L21" s="50">
        <v>2101440</v>
      </c>
      <c r="M21" s="50">
        <v>0</v>
      </c>
      <c r="N21" s="50">
        <v>0</v>
      </c>
      <c r="O21" s="51">
        <v>243</v>
      </c>
      <c r="P21" s="50">
        <v>2101440</v>
      </c>
      <c r="Q21" s="50">
        <v>0</v>
      </c>
      <c r="R21" s="50">
        <v>0</v>
      </c>
      <c r="S21" s="51">
        <v>243</v>
      </c>
      <c r="T21" s="50">
        <v>2101440</v>
      </c>
      <c r="U21" s="52" t="s">
        <v>175</v>
      </c>
      <c r="V21" s="51" t="s">
        <v>318</v>
      </c>
      <c r="W21" s="53"/>
    </row>
    <row r="22" spans="1:23">
      <c r="A22" s="48" t="s">
        <v>83</v>
      </c>
      <c r="B22" s="48" t="s">
        <v>319</v>
      </c>
      <c r="C22" s="48" t="s">
        <v>320</v>
      </c>
      <c r="D22" s="48" t="s">
        <v>321</v>
      </c>
      <c r="E22" s="48" t="s">
        <v>85</v>
      </c>
      <c r="F22" s="48" t="s">
        <v>63</v>
      </c>
      <c r="G22" s="49">
        <v>44845</v>
      </c>
      <c r="H22" s="49" t="s">
        <v>248</v>
      </c>
      <c r="I22" s="50">
        <v>0</v>
      </c>
      <c r="J22" s="50">
        <v>0</v>
      </c>
      <c r="K22" s="51">
        <v>243</v>
      </c>
      <c r="L22" s="50">
        <v>2101440</v>
      </c>
      <c r="M22" s="50">
        <v>0</v>
      </c>
      <c r="N22" s="50">
        <v>0</v>
      </c>
      <c r="O22" s="51">
        <v>243</v>
      </c>
      <c r="P22" s="50">
        <v>2101440</v>
      </c>
      <c r="Q22" s="50">
        <v>0</v>
      </c>
      <c r="R22" s="50">
        <v>0</v>
      </c>
      <c r="S22" s="51">
        <v>243</v>
      </c>
      <c r="T22" s="50">
        <v>2101440</v>
      </c>
      <c r="U22" s="52" t="s">
        <v>175</v>
      </c>
      <c r="V22" s="51" t="s">
        <v>322</v>
      </c>
      <c r="W22" s="53"/>
    </row>
    <row r="23" spans="1:23">
      <c r="A23" s="48" t="s">
        <v>60</v>
      </c>
      <c r="B23" s="48" t="s">
        <v>323</v>
      </c>
      <c r="C23" s="48" t="s">
        <v>324</v>
      </c>
      <c r="D23" s="48" t="s">
        <v>325</v>
      </c>
      <c r="E23" s="48" t="s">
        <v>62</v>
      </c>
      <c r="F23" s="48" t="s">
        <v>86</v>
      </c>
      <c r="G23" s="49">
        <v>44533</v>
      </c>
      <c r="H23" s="49" t="s">
        <v>248</v>
      </c>
      <c r="I23" s="50">
        <v>0</v>
      </c>
      <c r="J23" s="50">
        <v>0</v>
      </c>
      <c r="K23" s="51">
        <v>243</v>
      </c>
      <c r="L23" s="50">
        <v>2101440</v>
      </c>
      <c r="M23" s="50">
        <v>0</v>
      </c>
      <c r="N23" s="50">
        <v>0</v>
      </c>
      <c r="O23" s="51">
        <v>243</v>
      </c>
      <c r="P23" s="50">
        <v>2101440</v>
      </c>
      <c r="Q23" s="50">
        <v>0</v>
      </c>
      <c r="R23" s="50">
        <v>0</v>
      </c>
      <c r="S23" s="51">
        <v>243</v>
      </c>
      <c r="T23" s="50">
        <v>2101440</v>
      </c>
      <c r="U23" s="52" t="s">
        <v>175</v>
      </c>
      <c r="V23" s="51" t="s">
        <v>326</v>
      </c>
      <c r="W23" s="53"/>
    </row>
    <row r="24" spans="1:23">
      <c r="A24" s="48" t="s">
        <v>10</v>
      </c>
      <c r="B24" s="48" t="s">
        <v>327</v>
      </c>
      <c r="C24" s="48" t="s">
        <v>328</v>
      </c>
      <c r="D24" s="48" t="s">
        <v>329</v>
      </c>
      <c r="E24" s="48" t="s">
        <v>12</v>
      </c>
      <c r="F24" s="48" t="s">
        <v>83</v>
      </c>
      <c r="G24" s="49">
        <v>43654</v>
      </c>
      <c r="H24" s="49" t="s">
        <v>248</v>
      </c>
      <c r="I24" s="50">
        <v>0</v>
      </c>
      <c r="J24" s="50">
        <v>0</v>
      </c>
      <c r="K24" s="51">
        <v>243</v>
      </c>
      <c r="L24" s="50">
        <v>2101440</v>
      </c>
      <c r="M24" s="50">
        <v>0</v>
      </c>
      <c r="N24" s="50">
        <v>0</v>
      </c>
      <c r="O24" s="51">
        <v>243</v>
      </c>
      <c r="P24" s="50">
        <v>2101440</v>
      </c>
      <c r="Q24" s="50">
        <v>0</v>
      </c>
      <c r="R24" s="50">
        <v>0</v>
      </c>
      <c r="S24" s="51">
        <v>243</v>
      </c>
      <c r="T24" s="50">
        <v>2101440</v>
      </c>
      <c r="U24" s="52" t="s">
        <v>175</v>
      </c>
      <c r="V24" s="51" t="s">
        <v>330</v>
      </c>
      <c r="W24" s="53"/>
    </row>
    <row r="25" spans="1:23">
      <c r="A25" s="48" t="s">
        <v>40</v>
      </c>
      <c r="B25" s="48" t="s">
        <v>331</v>
      </c>
      <c r="C25" s="48" t="s">
        <v>332</v>
      </c>
      <c r="D25" s="48" t="s">
        <v>333</v>
      </c>
      <c r="E25" s="48" t="s">
        <v>42</v>
      </c>
      <c r="F25" s="48" t="s">
        <v>60</v>
      </c>
      <c r="G25" s="49">
        <v>44013</v>
      </c>
      <c r="H25" s="49" t="s">
        <v>248</v>
      </c>
      <c r="I25" s="50">
        <v>0</v>
      </c>
      <c r="J25" s="50">
        <v>0</v>
      </c>
      <c r="K25" s="51">
        <v>243</v>
      </c>
      <c r="L25" s="50">
        <v>2101440</v>
      </c>
      <c r="M25" s="50">
        <v>0</v>
      </c>
      <c r="N25" s="50">
        <v>0</v>
      </c>
      <c r="O25" s="51">
        <v>243</v>
      </c>
      <c r="P25" s="50">
        <v>2101440</v>
      </c>
      <c r="Q25" s="50">
        <v>0</v>
      </c>
      <c r="R25" s="50">
        <v>0</v>
      </c>
      <c r="S25" s="51">
        <v>243</v>
      </c>
      <c r="T25" s="50">
        <v>2101440</v>
      </c>
      <c r="U25" s="52" t="s">
        <v>175</v>
      </c>
      <c r="V25" s="51" t="s">
        <v>334</v>
      </c>
      <c r="W25" s="53"/>
    </row>
    <row r="26" spans="1:23">
      <c r="A26" s="48" t="s">
        <v>92</v>
      </c>
      <c r="B26" s="48" t="s">
        <v>335</v>
      </c>
      <c r="C26" s="48" t="s">
        <v>336</v>
      </c>
      <c r="D26" s="48" t="s">
        <v>337</v>
      </c>
      <c r="E26" s="48" t="s">
        <v>94</v>
      </c>
      <c r="F26" s="48" t="s">
        <v>31</v>
      </c>
      <c r="G26" s="49">
        <v>45231</v>
      </c>
      <c r="H26" s="49" t="s">
        <v>248</v>
      </c>
      <c r="I26" s="50">
        <v>0</v>
      </c>
      <c r="J26" s="50">
        <v>0</v>
      </c>
      <c r="K26" s="51">
        <v>120</v>
      </c>
      <c r="L26" s="50">
        <v>2101440</v>
      </c>
      <c r="M26" s="50">
        <v>0</v>
      </c>
      <c r="N26" s="50">
        <v>0</v>
      </c>
      <c r="O26" s="51">
        <v>120</v>
      </c>
      <c r="P26" s="50">
        <v>2101440</v>
      </c>
      <c r="Q26" s="50">
        <v>0</v>
      </c>
      <c r="R26" s="50">
        <v>0</v>
      </c>
      <c r="S26" s="51">
        <v>120</v>
      </c>
      <c r="T26" s="50">
        <v>2101440</v>
      </c>
      <c r="U26" s="52" t="s">
        <v>175</v>
      </c>
      <c r="V26" s="51" t="s">
        <v>338</v>
      </c>
      <c r="W26" s="53"/>
    </row>
    <row r="27" spans="1:23">
      <c r="A27" s="48" t="s">
        <v>101</v>
      </c>
      <c r="B27" s="48" t="s">
        <v>339</v>
      </c>
      <c r="C27" s="48" t="s">
        <v>340</v>
      </c>
      <c r="D27" s="48" t="s">
        <v>341</v>
      </c>
      <c r="E27" s="48" t="s">
        <v>103</v>
      </c>
      <c r="F27" s="48" t="s">
        <v>183</v>
      </c>
      <c r="G27" s="49">
        <v>45352</v>
      </c>
      <c r="H27" s="49" t="s">
        <v>248</v>
      </c>
      <c r="I27" s="50">
        <v>0</v>
      </c>
      <c r="J27" s="50">
        <v>0</v>
      </c>
      <c r="K27" s="51">
        <v>243</v>
      </c>
      <c r="L27" s="50">
        <v>2101440</v>
      </c>
      <c r="M27" s="50">
        <v>0</v>
      </c>
      <c r="N27" s="50">
        <v>0</v>
      </c>
      <c r="O27" s="51">
        <v>243</v>
      </c>
      <c r="P27" s="50">
        <v>2101440</v>
      </c>
      <c r="Q27" s="50">
        <v>0</v>
      </c>
      <c r="R27" s="50">
        <v>0</v>
      </c>
      <c r="S27" s="51">
        <v>243</v>
      </c>
      <c r="T27" s="50">
        <v>2101440</v>
      </c>
      <c r="U27" s="52" t="s">
        <v>175</v>
      </c>
      <c r="V27" s="51" t="s">
        <v>342</v>
      </c>
      <c r="W27" s="53"/>
    </row>
    <row r="28" spans="1:23">
      <c r="A28" s="48" t="s">
        <v>13</v>
      </c>
      <c r="B28" s="48" t="s">
        <v>343</v>
      </c>
      <c r="C28" s="48" t="s">
        <v>344</v>
      </c>
      <c r="D28" s="48" t="s">
        <v>345</v>
      </c>
      <c r="E28" s="48" t="s">
        <v>15</v>
      </c>
      <c r="F28" s="48" t="s">
        <v>184</v>
      </c>
      <c r="G28" s="49">
        <v>43647</v>
      </c>
      <c r="H28" s="49" t="s">
        <v>248</v>
      </c>
      <c r="I28" s="50">
        <v>0</v>
      </c>
      <c r="J28" s="50">
        <v>0</v>
      </c>
      <c r="K28" s="51">
        <v>243</v>
      </c>
      <c r="L28" s="50">
        <v>2101440</v>
      </c>
      <c r="M28" s="50">
        <v>0</v>
      </c>
      <c r="N28" s="50">
        <v>0</v>
      </c>
      <c r="O28" s="51">
        <v>243</v>
      </c>
      <c r="P28" s="50">
        <v>2101440</v>
      </c>
      <c r="Q28" s="50">
        <v>0</v>
      </c>
      <c r="R28" s="50">
        <v>0</v>
      </c>
      <c r="S28" s="51">
        <v>243</v>
      </c>
      <c r="T28" s="50">
        <v>2101440</v>
      </c>
      <c r="U28" s="52" t="s">
        <v>175</v>
      </c>
      <c r="V28" s="51" t="s">
        <v>346</v>
      </c>
      <c r="W28" s="53"/>
    </row>
    <row r="29" spans="1:23">
      <c r="A29" s="48" t="s">
        <v>78</v>
      </c>
      <c r="B29" s="48" t="s">
        <v>347</v>
      </c>
      <c r="C29" s="48" t="s">
        <v>348</v>
      </c>
      <c r="D29" s="48" t="s">
        <v>79</v>
      </c>
      <c r="E29" s="48" t="s">
        <v>292</v>
      </c>
      <c r="F29" s="48" t="s">
        <v>46</v>
      </c>
      <c r="G29" s="49">
        <v>44725</v>
      </c>
      <c r="H29" s="49" t="s">
        <v>248</v>
      </c>
      <c r="I29" s="50">
        <v>0</v>
      </c>
      <c r="J29" s="50">
        <v>0</v>
      </c>
      <c r="K29" s="51">
        <v>243</v>
      </c>
      <c r="L29" s="50">
        <v>2101440</v>
      </c>
      <c r="M29" s="50">
        <v>0</v>
      </c>
      <c r="N29" s="50">
        <v>0</v>
      </c>
      <c r="O29" s="51">
        <v>243</v>
      </c>
      <c r="P29" s="50">
        <v>2101440</v>
      </c>
      <c r="Q29" s="50">
        <v>0</v>
      </c>
      <c r="R29" s="50">
        <v>0</v>
      </c>
      <c r="S29" s="51">
        <v>243</v>
      </c>
      <c r="T29" s="50">
        <v>2101440</v>
      </c>
      <c r="U29" s="52" t="s">
        <v>175</v>
      </c>
      <c r="V29" s="51" t="s">
        <v>349</v>
      </c>
      <c r="W29" s="53"/>
    </row>
    <row r="30" spans="1:23">
      <c r="A30" s="48" t="s">
        <v>43</v>
      </c>
      <c r="B30" s="48" t="s">
        <v>350</v>
      </c>
      <c r="C30" s="48" t="s">
        <v>351</v>
      </c>
      <c r="D30" s="48" t="s">
        <v>352</v>
      </c>
      <c r="E30" s="48" t="s">
        <v>45</v>
      </c>
      <c r="F30" s="48" t="s">
        <v>18</v>
      </c>
      <c r="G30" s="49">
        <v>44013</v>
      </c>
      <c r="H30" s="49" t="s">
        <v>248</v>
      </c>
      <c r="I30" s="50">
        <v>0</v>
      </c>
      <c r="J30" s="50">
        <v>0</v>
      </c>
      <c r="K30" s="51">
        <v>243</v>
      </c>
      <c r="L30" s="50">
        <v>2101440</v>
      </c>
      <c r="M30" s="50">
        <v>0</v>
      </c>
      <c r="N30" s="50">
        <v>0</v>
      </c>
      <c r="O30" s="51">
        <v>243</v>
      </c>
      <c r="P30" s="50">
        <v>2101440</v>
      </c>
      <c r="Q30" s="50">
        <v>0</v>
      </c>
      <c r="R30" s="50">
        <v>0</v>
      </c>
      <c r="S30" s="51">
        <v>243</v>
      </c>
      <c r="T30" s="50">
        <v>2101440</v>
      </c>
      <c r="U30" s="52" t="s">
        <v>175</v>
      </c>
      <c r="V30" s="51" t="s">
        <v>353</v>
      </c>
      <c r="W30" s="53"/>
    </row>
    <row r="31" spans="1:23">
      <c r="A31" s="48" t="s">
        <v>72</v>
      </c>
      <c r="B31" s="48" t="s">
        <v>354</v>
      </c>
      <c r="C31" s="48" t="s">
        <v>355</v>
      </c>
      <c r="D31" s="48" t="s">
        <v>356</v>
      </c>
      <c r="E31" s="48" t="s">
        <v>74</v>
      </c>
      <c r="F31" s="48" t="s">
        <v>16</v>
      </c>
      <c r="G31" s="49">
        <v>44652</v>
      </c>
      <c r="H31" s="49" t="s">
        <v>248</v>
      </c>
      <c r="I31" s="50">
        <v>0</v>
      </c>
      <c r="J31" s="50">
        <v>0</v>
      </c>
      <c r="K31" s="51">
        <v>243</v>
      </c>
      <c r="L31" s="50">
        <v>2101440</v>
      </c>
      <c r="M31" s="50">
        <v>0</v>
      </c>
      <c r="N31" s="50">
        <v>0</v>
      </c>
      <c r="O31" s="51">
        <v>243</v>
      </c>
      <c r="P31" s="50">
        <v>2101440</v>
      </c>
      <c r="Q31" s="50">
        <v>0</v>
      </c>
      <c r="R31" s="50">
        <v>0</v>
      </c>
      <c r="S31" s="51">
        <v>243</v>
      </c>
      <c r="T31" s="50">
        <v>2101440</v>
      </c>
      <c r="U31" s="52" t="s">
        <v>175</v>
      </c>
      <c r="V31" s="51" t="s">
        <v>357</v>
      </c>
      <c r="W31" s="53"/>
    </row>
    <row r="32" spans="1:23">
      <c r="A32" s="48" t="s">
        <v>52</v>
      </c>
      <c r="B32" s="48" t="s">
        <v>358</v>
      </c>
      <c r="C32" s="48" t="s">
        <v>359</v>
      </c>
      <c r="D32" s="48" t="s">
        <v>53</v>
      </c>
      <c r="E32" s="48" t="s">
        <v>292</v>
      </c>
      <c r="F32" s="48" t="s">
        <v>24</v>
      </c>
      <c r="G32" s="49">
        <v>44137</v>
      </c>
      <c r="H32" s="49" t="s">
        <v>248</v>
      </c>
      <c r="I32" s="50">
        <v>0</v>
      </c>
      <c r="J32" s="50">
        <v>0</v>
      </c>
      <c r="K32" s="51">
        <v>243</v>
      </c>
      <c r="L32" s="50">
        <v>2101440</v>
      </c>
      <c r="M32" s="50">
        <v>0</v>
      </c>
      <c r="N32" s="50">
        <v>0</v>
      </c>
      <c r="O32" s="51">
        <v>243</v>
      </c>
      <c r="P32" s="50">
        <v>2101440</v>
      </c>
      <c r="Q32" s="50">
        <v>0</v>
      </c>
      <c r="R32" s="50">
        <v>0</v>
      </c>
      <c r="S32" s="51">
        <v>243</v>
      </c>
      <c r="T32" s="50">
        <v>2101440</v>
      </c>
      <c r="U32" s="52" t="s">
        <v>175</v>
      </c>
      <c r="V32" s="51" t="s">
        <v>360</v>
      </c>
      <c r="W32" s="53"/>
    </row>
    <row r="33" spans="1:23">
      <c r="A33" s="48" t="s">
        <v>34</v>
      </c>
      <c r="B33" s="48" t="s">
        <v>361</v>
      </c>
      <c r="C33" s="48" t="s">
        <v>362</v>
      </c>
      <c r="D33" s="48" t="s">
        <v>363</v>
      </c>
      <c r="E33" s="48" t="s">
        <v>36</v>
      </c>
      <c r="F33" s="48" t="s">
        <v>29</v>
      </c>
      <c r="G33" s="49">
        <v>43921</v>
      </c>
      <c r="H33" s="49" t="s">
        <v>248</v>
      </c>
      <c r="I33" s="50">
        <v>0</v>
      </c>
      <c r="J33" s="50">
        <v>0</v>
      </c>
      <c r="K33" s="51">
        <v>243</v>
      </c>
      <c r="L33" s="50">
        <v>2101440</v>
      </c>
      <c r="M33" s="50">
        <v>0</v>
      </c>
      <c r="N33" s="50">
        <v>0</v>
      </c>
      <c r="O33" s="51">
        <v>243</v>
      </c>
      <c r="P33" s="50">
        <v>2101440</v>
      </c>
      <c r="Q33" s="50">
        <v>0</v>
      </c>
      <c r="R33" s="50">
        <v>0</v>
      </c>
      <c r="S33" s="51">
        <v>243</v>
      </c>
      <c r="T33" s="50">
        <v>2101440</v>
      </c>
      <c r="U33" s="52" t="s">
        <v>175</v>
      </c>
      <c r="V33" s="51" t="s">
        <v>364</v>
      </c>
      <c r="W33" s="53"/>
    </row>
    <row r="34" spans="1:23">
      <c r="A34" s="48" t="s">
        <v>86</v>
      </c>
      <c r="B34" s="48" t="s">
        <v>365</v>
      </c>
      <c r="C34" s="48" t="s">
        <v>366</v>
      </c>
      <c r="D34" s="48" t="s">
        <v>367</v>
      </c>
      <c r="E34" s="48" t="s">
        <v>368</v>
      </c>
      <c r="F34" s="48" t="s">
        <v>185</v>
      </c>
      <c r="G34" s="49">
        <v>44987</v>
      </c>
      <c r="H34" s="49" t="s">
        <v>248</v>
      </c>
      <c r="I34" s="50">
        <v>0</v>
      </c>
      <c r="J34" s="50">
        <v>0</v>
      </c>
      <c r="K34" s="51">
        <v>243</v>
      </c>
      <c r="L34" s="50">
        <v>2101440</v>
      </c>
      <c r="M34" s="50">
        <v>0</v>
      </c>
      <c r="N34" s="50">
        <v>0</v>
      </c>
      <c r="O34" s="51">
        <v>243</v>
      </c>
      <c r="P34" s="50">
        <v>2101440</v>
      </c>
      <c r="Q34" s="50">
        <v>0</v>
      </c>
      <c r="R34" s="50">
        <v>0</v>
      </c>
      <c r="S34" s="51">
        <v>243</v>
      </c>
      <c r="T34" s="50">
        <v>2101440</v>
      </c>
      <c r="U34" s="52" t="s">
        <v>175</v>
      </c>
      <c r="V34" s="51" t="s">
        <v>369</v>
      </c>
      <c r="W34" s="53"/>
    </row>
    <row r="35" spans="1:23">
      <c r="A35" s="48" t="s">
        <v>98</v>
      </c>
      <c r="B35" s="48" t="s">
        <v>370</v>
      </c>
      <c r="C35" s="48" t="s">
        <v>371</v>
      </c>
      <c r="D35" s="48" t="s">
        <v>372</v>
      </c>
      <c r="E35" s="48" t="s">
        <v>100</v>
      </c>
      <c r="F35" s="48" t="s">
        <v>54</v>
      </c>
      <c r="G35" s="49">
        <v>45323</v>
      </c>
      <c r="H35" s="49" t="s">
        <v>248</v>
      </c>
      <c r="I35" s="50">
        <v>0</v>
      </c>
      <c r="J35" s="50">
        <v>0</v>
      </c>
      <c r="K35" s="51">
        <v>243</v>
      </c>
      <c r="L35" s="50">
        <v>2101440</v>
      </c>
      <c r="M35" s="50">
        <v>0</v>
      </c>
      <c r="N35" s="50">
        <v>0</v>
      </c>
      <c r="O35" s="51">
        <v>243</v>
      </c>
      <c r="P35" s="50">
        <v>2101440</v>
      </c>
      <c r="Q35" s="50">
        <v>0</v>
      </c>
      <c r="R35" s="50">
        <v>0</v>
      </c>
      <c r="S35" s="51">
        <v>243</v>
      </c>
      <c r="T35" s="50">
        <v>2101440</v>
      </c>
      <c r="U35" s="52" t="s">
        <v>175</v>
      </c>
      <c r="V35" s="51" t="s">
        <v>373</v>
      </c>
      <c r="W35" s="53"/>
    </row>
    <row r="36" spans="1:23" ht="11.25" customHeight="1">
      <c r="A36" s="48" t="s">
        <v>89</v>
      </c>
      <c r="B36" s="48" t="s">
        <v>374</v>
      </c>
      <c r="C36" s="48" t="s">
        <v>375</v>
      </c>
      <c r="D36" s="48" t="s">
        <v>376</v>
      </c>
      <c r="E36" s="48" t="s">
        <v>91</v>
      </c>
      <c r="F36" s="48" t="s">
        <v>37</v>
      </c>
      <c r="G36" s="49">
        <v>45108</v>
      </c>
      <c r="H36" s="49" t="s">
        <v>248</v>
      </c>
      <c r="I36" s="50">
        <v>0</v>
      </c>
      <c r="J36" s="50">
        <v>0</v>
      </c>
      <c r="K36" s="51">
        <v>243</v>
      </c>
      <c r="L36" s="50">
        <v>2101440</v>
      </c>
      <c r="M36" s="50">
        <v>0</v>
      </c>
      <c r="N36" s="50">
        <v>0</v>
      </c>
      <c r="O36" s="51">
        <v>243</v>
      </c>
      <c r="P36" s="50">
        <v>2101440</v>
      </c>
      <c r="Q36" s="50">
        <v>0</v>
      </c>
      <c r="R36" s="50">
        <v>0</v>
      </c>
      <c r="S36" s="51">
        <v>243</v>
      </c>
      <c r="T36" s="50">
        <v>2101440</v>
      </c>
      <c r="U36" s="52" t="s">
        <v>175</v>
      </c>
      <c r="V36" s="51" t="s">
        <v>377</v>
      </c>
      <c r="W36" s="53"/>
    </row>
    <row r="37" spans="1:23">
      <c r="A37" s="48" t="s">
        <v>80</v>
      </c>
      <c r="B37" s="48" t="s">
        <v>378</v>
      </c>
      <c r="C37" s="48" t="s">
        <v>379</v>
      </c>
      <c r="D37" s="48" t="s">
        <v>380</v>
      </c>
      <c r="E37" s="48" t="s">
        <v>82</v>
      </c>
      <c r="F37" s="48" t="s">
        <v>186</v>
      </c>
      <c r="G37" s="49">
        <v>44805</v>
      </c>
      <c r="H37" s="49" t="s">
        <v>248</v>
      </c>
      <c r="I37" s="50">
        <v>0</v>
      </c>
      <c r="J37" s="50">
        <v>0</v>
      </c>
      <c r="K37" s="51">
        <v>120</v>
      </c>
      <c r="L37" s="50">
        <v>2101440</v>
      </c>
      <c r="M37" s="50">
        <v>0</v>
      </c>
      <c r="N37" s="50">
        <v>0</v>
      </c>
      <c r="O37" s="51">
        <v>120</v>
      </c>
      <c r="P37" s="50">
        <v>2101440</v>
      </c>
      <c r="Q37" s="50">
        <v>0</v>
      </c>
      <c r="R37" s="50">
        <v>0</v>
      </c>
      <c r="S37" s="51">
        <v>120</v>
      </c>
      <c r="T37" s="50">
        <v>2101440</v>
      </c>
      <c r="U37" s="52" t="s">
        <v>175</v>
      </c>
      <c r="V37" s="51" t="s">
        <v>381</v>
      </c>
      <c r="W37" s="53"/>
    </row>
    <row r="38" spans="1:23">
      <c r="A38" s="48" t="s">
        <v>104</v>
      </c>
      <c r="B38" s="48" t="s">
        <v>382</v>
      </c>
      <c r="C38" s="48" t="s">
        <v>383</v>
      </c>
      <c r="D38" s="48" t="s">
        <v>384</v>
      </c>
      <c r="E38" s="48" t="s">
        <v>106</v>
      </c>
      <c r="F38" s="48" t="s">
        <v>186</v>
      </c>
      <c r="G38" s="49">
        <v>45597</v>
      </c>
      <c r="H38" s="49" t="s">
        <v>248</v>
      </c>
      <c r="I38" s="50">
        <v>0</v>
      </c>
      <c r="J38" s="50">
        <v>0</v>
      </c>
      <c r="K38" s="51">
        <v>243</v>
      </c>
      <c r="L38" s="50">
        <v>2101440</v>
      </c>
      <c r="M38" s="50">
        <v>0</v>
      </c>
      <c r="N38" s="50">
        <v>0</v>
      </c>
      <c r="O38" s="51">
        <v>243</v>
      </c>
      <c r="P38" s="50">
        <v>2101440</v>
      </c>
      <c r="Q38" s="50">
        <v>0</v>
      </c>
      <c r="R38" s="50">
        <v>0</v>
      </c>
      <c r="S38" s="51">
        <v>243</v>
      </c>
      <c r="T38" s="50">
        <v>2101440</v>
      </c>
      <c r="U38" s="52" t="s">
        <v>175</v>
      </c>
      <c r="V38" s="51" t="s">
        <v>385</v>
      </c>
      <c r="W38" s="53"/>
    </row>
    <row r="39" spans="1:23">
      <c r="A39" s="48" t="s">
        <v>107</v>
      </c>
      <c r="B39" s="48" t="s">
        <v>386</v>
      </c>
      <c r="C39" s="48" t="s">
        <v>387</v>
      </c>
      <c r="D39" s="48" t="s">
        <v>388</v>
      </c>
      <c r="E39" s="48" t="s">
        <v>109</v>
      </c>
      <c r="F39" s="48" t="s">
        <v>186</v>
      </c>
      <c r="G39" s="49">
        <v>45597</v>
      </c>
      <c r="H39" s="49" t="s">
        <v>248</v>
      </c>
      <c r="I39" s="50">
        <v>0</v>
      </c>
      <c r="J39" s="50">
        <v>0</v>
      </c>
      <c r="K39" s="51">
        <v>243</v>
      </c>
      <c r="L39" s="50">
        <v>2101440</v>
      </c>
      <c r="M39" s="50">
        <v>0</v>
      </c>
      <c r="N39" s="50">
        <v>0</v>
      </c>
      <c r="O39" s="51">
        <v>243</v>
      </c>
      <c r="P39" s="50">
        <v>2101440</v>
      </c>
      <c r="Q39" s="50">
        <v>0</v>
      </c>
      <c r="R39" s="50">
        <v>0</v>
      </c>
      <c r="S39" s="51">
        <v>243</v>
      </c>
      <c r="T39" s="50">
        <v>2101440</v>
      </c>
      <c r="U39" s="52" t="s">
        <v>175</v>
      </c>
      <c r="V39" s="51" t="s">
        <v>389</v>
      </c>
      <c r="W39" s="53"/>
    </row>
    <row r="40" spans="1:23">
      <c r="A40" s="48" t="s">
        <v>110</v>
      </c>
      <c r="B40" s="48" t="s">
        <v>390</v>
      </c>
      <c r="C40" s="48" t="s">
        <v>391</v>
      </c>
      <c r="D40" s="48" t="s">
        <v>392</v>
      </c>
      <c r="E40" s="48" t="s">
        <v>112</v>
      </c>
      <c r="F40" s="48" t="s">
        <v>186</v>
      </c>
      <c r="G40" s="49">
        <v>45597</v>
      </c>
      <c r="H40" s="49" t="s">
        <v>248</v>
      </c>
      <c r="I40" s="50">
        <v>0</v>
      </c>
      <c r="J40" s="50">
        <v>0</v>
      </c>
      <c r="K40" s="51">
        <v>0</v>
      </c>
      <c r="L40" s="50">
        <v>2101440</v>
      </c>
      <c r="M40" s="50">
        <v>0</v>
      </c>
      <c r="N40" s="50">
        <v>0</v>
      </c>
      <c r="O40" s="51">
        <v>0</v>
      </c>
      <c r="P40" s="50">
        <v>2101440</v>
      </c>
      <c r="Q40" s="50">
        <v>0</v>
      </c>
      <c r="R40" s="50">
        <v>0</v>
      </c>
      <c r="S40" s="51">
        <v>0</v>
      </c>
      <c r="T40" s="50">
        <v>2101440</v>
      </c>
      <c r="U40" s="52" t="s">
        <v>175</v>
      </c>
      <c r="V40" s="51" t="s">
        <v>393</v>
      </c>
      <c r="W40" s="53"/>
    </row>
    <row r="41" spans="1:23">
      <c r="A41" s="48" t="s">
        <v>113</v>
      </c>
      <c r="B41" s="48" t="s">
        <v>394</v>
      </c>
      <c r="C41" s="48" t="s">
        <v>395</v>
      </c>
      <c r="D41" s="48" t="s">
        <v>352</v>
      </c>
      <c r="E41" s="48" t="s">
        <v>114</v>
      </c>
      <c r="F41" s="48" t="s">
        <v>186</v>
      </c>
      <c r="G41" s="49">
        <v>45597</v>
      </c>
      <c r="H41" s="49" t="s">
        <v>248</v>
      </c>
      <c r="I41" s="50">
        <v>0</v>
      </c>
      <c r="J41" s="50">
        <v>0</v>
      </c>
      <c r="K41" s="51">
        <v>0</v>
      </c>
      <c r="L41" s="50">
        <v>2101440</v>
      </c>
      <c r="M41" s="50">
        <v>0</v>
      </c>
      <c r="N41" s="50">
        <v>0</v>
      </c>
      <c r="O41" s="51">
        <v>0</v>
      </c>
      <c r="P41" s="50">
        <v>2101440</v>
      </c>
      <c r="Q41" s="50">
        <v>0</v>
      </c>
      <c r="R41" s="50">
        <v>0</v>
      </c>
      <c r="S41" s="51">
        <v>0</v>
      </c>
      <c r="T41" s="50">
        <v>2101440</v>
      </c>
      <c r="U41" s="52" t="s">
        <v>175</v>
      </c>
      <c r="V41" s="51" t="s">
        <v>396</v>
      </c>
      <c r="W41" s="53"/>
    </row>
    <row r="44" spans="1:23">
      <c r="P44" s="39"/>
    </row>
    <row r="46" spans="1:23" ht="20.25">
      <c r="G46" s="54"/>
    </row>
    <row r="48" spans="1:23" ht="18">
      <c r="G48" s="55"/>
      <c r="H48" s="40"/>
      <c r="J48" s="40"/>
      <c r="K48" s="40"/>
      <c r="L48" s="40"/>
      <c r="N48" s="40"/>
      <c r="O48" s="40"/>
      <c r="P48" s="40"/>
      <c r="R48" s="40"/>
      <c r="S48" s="40"/>
      <c r="T48" s="40"/>
    </row>
    <row r="49" spans="7:20" ht="18">
      <c r="G49" s="55"/>
      <c r="H49" s="40"/>
      <c r="J49" s="40"/>
      <c r="K49" s="40"/>
      <c r="L49" s="40"/>
      <c r="N49" s="40"/>
      <c r="O49" s="40"/>
      <c r="P49" s="40"/>
      <c r="R49" s="40"/>
      <c r="S49" s="40"/>
      <c r="T49" s="40"/>
    </row>
  </sheetData>
  <mergeCells count="8">
    <mergeCell ref="H1:H2"/>
    <mergeCell ref="I1:L1"/>
    <mergeCell ref="B1:B2"/>
    <mergeCell ref="C1:C2"/>
    <mergeCell ref="D1:D2"/>
    <mergeCell ref="E1:E2"/>
    <mergeCell ref="F1:F2"/>
    <mergeCell ref="G1:G2"/>
  </mergeCells>
  <pageMargins left="0.23622047244094491" right="0.23622047244094491" top="0.74803149606299213" bottom="0.74803149606299213" header="0.31496062992125984" footer="0.31496062992125984"/>
  <pageSetup paperSize="9" scale="65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BDEA-9D0A-4926-AC6D-37C29DD8F462}">
  <sheetPr codeName="Feuil3"/>
  <dimension ref="A1:M50"/>
  <sheetViews>
    <sheetView view="pageBreakPreview" zoomScaleNormal="100" zoomScaleSheetLayoutView="100" workbookViewId="0">
      <selection activeCell="D36" sqref="D36"/>
    </sheetView>
  </sheetViews>
  <sheetFormatPr baseColWidth="10" defaultColWidth="11" defaultRowHeight="15"/>
  <cols>
    <col min="1" max="3" width="11" style="60"/>
    <col min="4" max="4" width="11.25" style="60" bestFit="1" customWidth="1"/>
    <col min="5" max="5" width="0.5" style="60" customWidth="1"/>
    <col min="6" max="8" width="11" style="60"/>
    <col min="9" max="9" width="12.125" style="60" bestFit="1" customWidth="1"/>
    <col min="10" max="11" width="11" style="60"/>
    <col min="12" max="12" width="16.875" style="60" bestFit="1" customWidth="1"/>
    <col min="13" max="16384" width="11" style="60"/>
  </cols>
  <sheetData>
    <row r="1" spans="1:13">
      <c r="A1" s="56" t="s">
        <v>187</v>
      </c>
      <c r="B1" s="57"/>
      <c r="C1" s="57"/>
      <c r="D1" s="58"/>
      <c r="E1" s="59"/>
      <c r="F1" s="56" t="s">
        <v>188</v>
      </c>
      <c r="G1" s="57"/>
      <c r="H1" s="57"/>
      <c r="I1" s="57"/>
      <c r="J1" s="58"/>
      <c r="L1" s="60" t="s">
        <v>189</v>
      </c>
      <c r="M1" s="61">
        <f ca="1">IF(MONTH(TODAY())&lt;4,DATE(YEAR(TODAY())-1,
10,1),DATE(YEAR(TODAY()),
CHOOSE(MONTH(TODAY()),10,10,10,1,1,1,4,4,4,7,7,7),
1))</f>
        <v>45839</v>
      </c>
    </row>
    <row r="2" spans="1:13">
      <c r="A2" s="62" t="s">
        <v>190</v>
      </c>
      <c r="B2" s="63"/>
      <c r="C2" s="63"/>
      <c r="D2" s="64"/>
      <c r="E2" s="59"/>
      <c r="F2" s="62" t="s">
        <v>191</v>
      </c>
      <c r="G2" s="63"/>
      <c r="H2" s="63"/>
      <c r="I2" s="63"/>
      <c r="J2" s="64"/>
    </row>
    <row r="3" spans="1:13">
      <c r="A3" s="65" t="s">
        <v>192</v>
      </c>
      <c r="B3" s="66"/>
      <c r="C3" s="66"/>
      <c r="D3" s="67"/>
      <c r="E3" s="68"/>
      <c r="F3" s="62" t="s">
        <v>193</v>
      </c>
      <c r="G3" s="63"/>
      <c r="H3" s="63"/>
      <c r="I3" s="63"/>
      <c r="J3" s="64"/>
    </row>
    <row r="4" spans="1:13">
      <c r="A4" s="69" t="s">
        <v>194</v>
      </c>
      <c r="B4" s="70"/>
      <c r="C4" s="70"/>
      <c r="D4" s="71"/>
      <c r="E4" s="72"/>
      <c r="F4" s="65" t="s">
        <v>195</v>
      </c>
      <c r="G4" s="66"/>
      <c r="H4" s="66"/>
      <c r="I4" s="66"/>
      <c r="J4" s="67"/>
    </row>
    <row r="5" spans="1:13">
      <c r="A5" s="62" t="s">
        <v>196</v>
      </c>
      <c r="B5" s="63"/>
      <c r="C5" s="63"/>
      <c r="D5" s="64"/>
      <c r="E5" s="59"/>
      <c r="F5" s="69" t="s">
        <v>197</v>
      </c>
      <c r="G5" s="70"/>
      <c r="H5" s="70"/>
      <c r="I5" s="70"/>
      <c r="J5" s="71"/>
    </row>
    <row r="6" spans="1:13">
      <c r="A6" s="73"/>
      <c r="B6" s="74"/>
      <c r="C6" s="74"/>
      <c r="D6" s="75"/>
      <c r="F6" s="76" t="s">
        <v>198</v>
      </c>
      <c r="G6" s="77"/>
      <c r="H6" s="77"/>
      <c r="I6" s="77"/>
      <c r="J6" s="78"/>
    </row>
    <row r="7" spans="1:13" ht="2.25" customHeight="1"/>
    <row r="8" spans="1:13" ht="33.75" customHeight="1">
      <c r="A8" s="79" t="s">
        <v>199</v>
      </c>
      <c r="B8" s="80"/>
      <c r="C8" s="80"/>
      <c r="D8" s="80"/>
      <c r="E8" s="80"/>
      <c r="F8" s="80"/>
      <c r="G8" s="80"/>
      <c r="H8" s="80"/>
      <c r="I8" s="80"/>
      <c r="J8" s="81"/>
    </row>
    <row r="9" spans="1:13" ht="3" customHeight="1">
      <c r="A9" s="82"/>
      <c r="B9" s="82"/>
      <c r="C9" s="82"/>
      <c r="D9" s="82"/>
      <c r="E9" s="82"/>
      <c r="F9" s="82"/>
      <c r="G9" s="82"/>
      <c r="H9" s="82"/>
      <c r="I9" s="82"/>
      <c r="J9" s="82"/>
    </row>
    <row r="10" spans="1:13">
      <c r="A10" s="83" t="s">
        <v>200</v>
      </c>
      <c r="B10" s="84"/>
      <c r="C10" s="84"/>
      <c r="D10" s="84"/>
      <c r="E10" s="84"/>
      <c r="F10" s="84"/>
      <c r="G10" s="84"/>
      <c r="H10" s="84"/>
      <c r="I10" s="84"/>
      <c r="J10" s="85"/>
    </row>
    <row r="11" spans="1:13">
      <c r="A11" s="69" t="str">
        <f ca="1">"Période: "&amp;IF(MONTH(M1)=1,"1er trimestre ",IF(MONTH(M1)=4,"2e trimestre ",IF(MONTH(M1)=7,"3e trimestre ","4e trimestre ")))&amp;YEAR(M1)</f>
        <v>Période: 3e trimestre 2025</v>
      </c>
      <c r="B11" s="70"/>
      <c r="C11" s="70"/>
      <c r="D11" s="70"/>
      <c r="E11" s="70"/>
      <c r="F11" s="70"/>
      <c r="G11" s="70"/>
      <c r="H11" s="70"/>
      <c r="I11" s="70"/>
      <c r="J11" s="71"/>
    </row>
    <row r="12" spans="1:13">
      <c r="A12" s="86" t="str">
        <f ca="1">"Date impérative de retour de paiement avant le : "&amp;DAY(EOMONTH(M1,3))&amp;" "&amp;CHOOSE(MONTH(EOMONTH(M1,3)),"Janvier ","Février ","Mars ","Avril ","Mai ","Juin ","Juillet ","Aout ","Septembre ","Octobre ","Novembre ","Décembre ")&amp;YEAR(EOMONTH(M1,3))</f>
        <v>Date impérative de retour de paiement avant le : 31 Octobre 2025</v>
      </c>
      <c r="J12" s="87"/>
    </row>
    <row r="13" spans="1:13">
      <c r="A13" s="88" t="s">
        <v>201</v>
      </c>
      <c r="B13" s="60" t="s">
        <v>117</v>
      </c>
      <c r="C13" s="60" t="s">
        <v>119</v>
      </c>
      <c r="J13" s="87"/>
    </row>
    <row r="14" spans="1:13">
      <c r="A14" s="86" t="s">
        <v>202</v>
      </c>
      <c r="H14" s="89" t="s">
        <v>203</v>
      </c>
      <c r="J14" s="87"/>
    </row>
    <row r="15" spans="1:13">
      <c r="A15" s="73"/>
      <c r="B15" s="74"/>
      <c r="C15" s="74"/>
      <c r="D15" s="74"/>
      <c r="E15" s="74"/>
      <c r="F15" s="74"/>
      <c r="G15" s="74"/>
      <c r="H15" s="90" t="s">
        <v>204</v>
      </c>
      <c r="I15" s="74"/>
      <c r="J15" s="75"/>
    </row>
    <row r="16" spans="1:13">
      <c r="H16" s="89"/>
    </row>
    <row r="17" spans="1:12">
      <c r="A17" s="83" t="s">
        <v>205</v>
      </c>
      <c r="B17" s="84"/>
      <c r="C17" s="84"/>
      <c r="D17" s="85"/>
      <c r="F17" s="83" t="s">
        <v>206</v>
      </c>
      <c r="G17" s="84"/>
      <c r="H17" s="84"/>
      <c r="I17" s="84"/>
      <c r="J17" s="85"/>
    </row>
    <row r="18" spans="1:12">
      <c r="A18" s="69" t="s">
        <v>187</v>
      </c>
      <c r="B18" s="70"/>
      <c r="C18" s="70"/>
      <c r="D18" s="71"/>
      <c r="F18" s="91" t="s">
        <v>207</v>
      </c>
      <c r="G18" s="92"/>
      <c r="H18" s="92"/>
      <c r="I18" s="92"/>
      <c r="J18" s="93"/>
    </row>
    <row r="19" spans="1:12">
      <c r="A19" s="86" t="s">
        <v>208</v>
      </c>
      <c r="D19" s="87"/>
      <c r="F19" s="65" t="s">
        <v>209</v>
      </c>
      <c r="G19" s="66"/>
      <c r="H19" s="66"/>
      <c r="I19" s="66"/>
      <c r="J19" s="67"/>
    </row>
    <row r="20" spans="1:12">
      <c r="A20" s="86" t="s">
        <v>210</v>
      </c>
      <c r="D20" s="87"/>
      <c r="F20" s="86" t="s">
        <v>211</v>
      </c>
      <c r="J20" s="87"/>
    </row>
    <row r="21" spans="1:12">
      <c r="A21" s="86" t="s">
        <v>212</v>
      </c>
      <c r="D21" s="87"/>
      <c r="F21" s="86" t="str">
        <f>A22</f>
        <v>Plafond mensuel : Ar 2 101 440</v>
      </c>
      <c r="J21" s="87"/>
    </row>
    <row r="22" spans="1:12" ht="23.25">
      <c r="A22" s="86" t="s">
        <v>213</v>
      </c>
      <c r="D22" s="87"/>
      <c r="F22" s="86" t="s">
        <v>214</v>
      </c>
      <c r="J22" s="87"/>
    </row>
    <row r="23" spans="1:12" ht="23.25">
      <c r="A23" s="86"/>
      <c r="D23" s="87"/>
      <c r="F23" s="86" t="s">
        <v>215</v>
      </c>
      <c r="J23" s="87"/>
    </row>
    <row r="24" spans="1:12" ht="23.25">
      <c r="A24" s="86"/>
      <c r="D24" s="87"/>
      <c r="F24" s="86" t="s">
        <v>216</v>
      </c>
      <c r="J24" s="87"/>
    </row>
    <row r="25" spans="1:12" ht="23.25">
      <c r="A25" s="86"/>
      <c r="D25" s="87"/>
      <c r="F25" s="86" t="s">
        <v>217</v>
      </c>
      <c r="J25" s="87"/>
    </row>
    <row r="26" spans="1:12" ht="18">
      <c r="A26" s="86"/>
      <c r="D26" s="87"/>
      <c r="F26" s="94" t="s">
        <v>218</v>
      </c>
      <c r="J26" s="87"/>
    </row>
    <row r="27" spans="1:12" ht="23.25">
      <c r="A27" s="86"/>
      <c r="D27" s="87"/>
      <c r="F27" s="86" t="s">
        <v>219</v>
      </c>
      <c r="J27" s="87"/>
    </row>
    <row r="28" spans="1:12">
      <c r="A28" s="73"/>
      <c r="B28" s="74"/>
      <c r="C28" s="74"/>
      <c r="D28" s="75"/>
      <c r="F28" s="73"/>
      <c r="G28" s="74"/>
      <c r="H28" s="74"/>
      <c r="I28" s="74"/>
      <c r="J28" s="75"/>
    </row>
    <row r="29" spans="1:12" ht="2.25" customHeight="1"/>
    <row r="30" spans="1:12">
      <c r="A30" s="95" t="s">
        <v>220</v>
      </c>
      <c r="B30" s="96"/>
      <c r="C30" s="97">
        <f ca="1">SUMIF([1]!liste_paiement[Trimestre paiement],$M$1,[1]!liste_paiement[Salaire brut total])</f>
        <v>0</v>
      </c>
      <c r="D30" s="98"/>
      <c r="F30" s="95" t="s">
        <v>220</v>
      </c>
      <c r="G30" s="96"/>
      <c r="H30" s="96"/>
      <c r="I30" s="99">
        <f ca="1">C30</f>
        <v>0</v>
      </c>
      <c r="J30" s="100"/>
    </row>
    <row r="31" spans="1:12">
      <c r="A31" s="86" t="s">
        <v>221</v>
      </c>
      <c r="C31" s="97">
        <f ca="1">SUMIF([1]!liste_paiement[Trimestre paiement],$M$1,[1]!liste_paiement[Salaires plafonnés])</f>
        <v>0</v>
      </c>
      <c r="D31" s="98"/>
      <c r="F31" s="86" t="s">
        <v>221</v>
      </c>
      <c r="I31" s="101">
        <f ca="1">C31</f>
        <v>0</v>
      </c>
      <c r="J31" s="102"/>
      <c r="L31" s="103"/>
    </row>
    <row r="32" spans="1:12">
      <c r="A32" s="86" t="s">
        <v>222</v>
      </c>
      <c r="C32" s="97">
        <f ca="1">SUMIF([1]!liste_paiement[Trimestre paiement],$M$1,[1]!liste_paiement[CNaPS])*13</f>
        <v>0</v>
      </c>
      <c r="D32" s="98"/>
      <c r="F32" s="86" t="s">
        <v>223</v>
      </c>
      <c r="I32" s="101">
        <f ca="1">C33</f>
        <v>0</v>
      </c>
      <c r="J32" s="102"/>
    </row>
    <row r="33" spans="1:10">
      <c r="A33" s="86" t="s">
        <v>224</v>
      </c>
      <c r="C33" s="97">
        <f ca="1">SUMIF([1]!liste_paiement[Trimestre paiement],$M$1,[1]!liste_paiement[CNaPS])</f>
        <v>0</v>
      </c>
      <c r="D33" s="98"/>
      <c r="F33" s="86"/>
      <c r="J33" s="87"/>
    </row>
    <row r="34" spans="1:10">
      <c r="A34" s="86" t="s">
        <v>225</v>
      </c>
      <c r="C34" s="104" t="s">
        <v>226</v>
      </c>
      <c r="D34" s="105"/>
      <c r="F34" s="86" t="s">
        <v>225</v>
      </c>
      <c r="I34" s="106" t="str">
        <f>C34</f>
        <v xml:space="preserve">-      </v>
      </c>
      <c r="J34" s="105"/>
    </row>
    <row r="35" spans="1:10" ht="15.75" customHeight="1">
      <c r="A35" s="86" t="s">
        <v>227</v>
      </c>
      <c r="C35" s="101">
        <f ca="1">SUM(C32:D33)</f>
        <v>0</v>
      </c>
      <c r="D35" s="102"/>
      <c r="F35" s="86" t="s">
        <v>227</v>
      </c>
      <c r="I35" s="107">
        <f ca="1">I32</f>
        <v>0</v>
      </c>
      <c r="J35" s="108"/>
    </row>
    <row r="36" spans="1:10">
      <c r="A36" s="86" t="s">
        <v>228</v>
      </c>
      <c r="D36" s="109">
        <v>45680</v>
      </c>
      <c r="F36" s="86" t="s">
        <v>228</v>
      </c>
      <c r="I36" s="110">
        <f>D36</f>
        <v>45680</v>
      </c>
      <c r="J36" s="111"/>
    </row>
    <row r="37" spans="1:10">
      <c r="A37" s="86" t="s">
        <v>229</v>
      </c>
      <c r="D37" s="87">
        <f ca="1">MAX(COUNTIF([1]!liste_paiement[Mois paiement],$M$1),COUNTIF([1]!liste_paiement[Mois paiement],EDATE($M$1,1)),,COUNTIF([1]!liste_paiement[Mois paiement],EDATE($M$1,2)))</f>
        <v>0</v>
      </c>
      <c r="F37" s="86" t="s">
        <v>229</v>
      </c>
      <c r="I37" s="106">
        <f ca="1">D37</f>
        <v>0</v>
      </c>
      <c r="J37" s="105"/>
    </row>
    <row r="38" spans="1:10">
      <c r="A38" s="86" t="s">
        <v>230</v>
      </c>
      <c r="D38" s="87"/>
      <c r="F38" s="86" t="s">
        <v>230</v>
      </c>
      <c r="J38" s="87"/>
    </row>
    <row r="39" spans="1:10">
      <c r="A39" s="86"/>
      <c r="D39" s="87"/>
      <c r="F39" s="86"/>
      <c r="J39" s="87"/>
    </row>
    <row r="40" spans="1:10">
      <c r="A40" s="86" t="s">
        <v>231</v>
      </c>
      <c r="D40" s="87"/>
      <c r="F40" s="86" t="s">
        <v>231</v>
      </c>
      <c r="J40" s="87"/>
    </row>
    <row r="41" spans="1:10">
      <c r="A41" s="86" t="s">
        <v>232</v>
      </c>
      <c r="D41" s="87"/>
      <c r="F41" s="86"/>
      <c r="J41" s="87"/>
    </row>
    <row r="42" spans="1:10">
      <c r="A42" s="86"/>
      <c r="B42" s="60" t="s">
        <v>233</v>
      </c>
      <c r="D42" s="87"/>
      <c r="F42" s="86"/>
      <c r="J42" s="87"/>
    </row>
    <row r="43" spans="1:10">
      <c r="A43" s="86" t="s">
        <v>234</v>
      </c>
      <c r="D43" s="87"/>
      <c r="F43" s="86" t="s">
        <v>234</v>
      </c>
      <c r="J43" s="87"/>
    </row>
    <row r="44" spans="1:10">
      <c r="A44" s="86" t="s">
        <v>235</v>
      </c>
      <c r="D44" s="87"/>
      <c r="F44" s="86" t="s">
        <v>235</v>
      </c>
      <c r="J44" s="87"/>
    </row>
    <row r="45" spans="1:10">
      <c r="A45" s="86" t="s">
        <v>236</v>
      </c>
      <c r="D45" s="112"/>
      <c r="F45" s="86" t="s">
        <v>236</v>
      </c>
      <c r="J45" s="112"/>
    </row>
    <row r="46" spans="1:10">
      <c r="A46" s="86" t="s">
        <v>237</v>
      </c>
      <c r="D46" s="87"/>
      <c r="F46" s="86"/>
      <c r="J46" s="113"/>
    </row>
    <row r="47" spans="1:10">
      <c r="A47" s="86" t="s">
        <v>238</v>
      </c>
      <c r="D47" s="87"/>
      <c r="F47" s="86"/>
      <c r="J47" s="87"/>
    </row>
    <row r="48" spans="1:10" ht="52.5" customHeight="1">
      <c r="A48" s="73"/>
      <c r="B48" s="74"/>
      <c r="C48" s="74"/>
      <c r="D48" s="75"/>
      <c r="F48" s="73"/>
      <c r="G48" s="74"/>
      <c r="H48" s="74"/>
      <c r="I48" s="74"/>
      <c r="J48" s="75"/>
    </row>
    <row r="50" spans="1:1">
      <c r="A50" s="60" t="s">
        <v>239</v>
      </c>
    </row>
  </sheetData>
  <mergeCells count="32">
    <mergeCell ref="I37:J37"/>
    <mergeCell ref="C33:D33"/>
    <mergeCell ref="C34:D34"/>
    <mergeCell ref="I34:J34"/>
    <mergeCell ref="C35:D35"/>
    <mergeCell ref="I35:J35"/>
    <mergeCell ref="I36:J36"/>
    <mergeCell ref="F19:J19"/>
    <mergeCell ref="C30:D30"/>
    <mergeCell ref="I30:J30"/>
    <mergeCell ref="C31:D31"/>
    <mergeCell ref="I31:J31"/>
    <mergeCell ref="C32:D32"/>
    <mergeCell ref="I32:J32"/>
    <mergeCell ref="A10:J10"/>
    <mergeCell ref="A11:J11"/>
    <mergeCell ref="A17:D17"/>
    <mergeCell ref="F17:J17"/>
    <mergeCell ref="A18:D18"/>
    <mergeCell ref="F18:J18"/>
    <mergeCell ref="A4:D4"/>
    <mergeCell ref="F4:J4"/>
    <mergeCell ref="A5:D5"/>
    <mergeCell ref="F5:J5"/>
    <mergeCell ref="F6:J6"/>
    <mergeCell ref="A8:J8"/>
    <mergeCell ref="A1:D1"/>
    <mergeCell ref="F1:J1"/>
    <mergeCell ref="A2:D2"/>
    <mergeCell ref="F2:J2"/>
    <mergeCell ref="A3:D3"/>
    <mergeCell ref="F3:J3"/>
  </mergeCells>
  <pageMargins left="0.25" right="0.25" top="0.28999999999999998" bottom="0.28999999999999998" header="0.3" footer="0.3"/>
  <pageSetup paperSize="9" scale="90" orientation="portrait" horizont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7CC57-25BA-41A7-B6F4-762B6091B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DIAME CNAPS</vt:lpstr>
      <vt:lpstr>EMPLOYEUR</vt:lpstr>
      <vt:lpstr>Annexe DNS</vt:lpstr>
      <vt:lpstr>Talon DNS</vt:lpstr>
      <vt:lpstr>'Annexe DNS'!Zone_d_impression</vt:lpstr>
      <vt:lpstr>'Talon DNS'!Zone_d_impression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Herizo Raza</dc:creator>
  <cp:lastModifiedBy>Herizo Raza</cp:lastModifiedBy>
  <dcterms:created xsi:type="dcterms:W3CDTF">2025-11-25T10:49:04Z</dcterms:created>
  <dcterms:modified xsi:type="dcterms:W3CDTF">2025-11-25T10:57:09Z</dcterms:modified>
</cp:coreProperties>
</file>